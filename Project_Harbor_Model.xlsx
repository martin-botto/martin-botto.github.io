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ti\Downloads\Claude Code\"/>
    </mc:Choice>
  </mc:AlternateContent>
  <xr:revisionPtr revIDLastSave="0" documentId="13_ncr:1_{0E64A7DF-DF3B-4385-9304-16A769745C56}" xr6:coauthVersionLast="47" xr6:coauthVersionMax="47" xr10:uidLastSave="{00000000-0000-0000-0000-000000000000}"/>
  <bookViews>
    <workbookView xWindow="-108" yWindow="-108" windowWidth="23256" windowHeight="12456" tabRatio="500" xr2:uid="{00000000-000D-0000-FFFF-FFFF00000000}"/>
  </bookViews>
  <sheets>
    <sheet name="Cover" sheetId="1" r:id="rId1"/>
    <sheet name="Assumptions" sheetId="2" r:id="rId2"/>
    <sheet name="Target Financials" sheetId="3" r:id="rId3"/>
    <sheet name="Trading Comps" sheetId="4" r:id="rId4"/>
    <sheet name="Precedent Trans" sheetId="5" r:id="rId5"/>
    <sheet name="DCF" sheetId="6" r:id="rId6"/>
    <sheet name="DCF Sensitivity" sheetId="7" r:id="rId7"/>
    <sheet name="Synergies" sheetId="8" r:id="rId8"/>
    <sheet name="Football Field" sheetId="9" r:id="rId9"/>
    <sheet name="Accretion-Dilution" sheetId="10" r:id="rId10"/>
    <sheet name="Beta Unlever" sheetId="11" r:id="rId11"/>
    <sheet name="Sources &amp; Uses" sheetId="12" r:id="rId12"/>
    <sheet name="Purchase Price Alloc" sheetId="13" r:id="rId13"/>
    <sheet name="Premiums Paid" sheetId="14" r:id="rId14"/>
    <sheet name="Contribution" sheetId="15" r:id="rId15"/>
    <sheet name="Returns" sheetId="16" r:id="rId16"/>
    <sheet name="Appendix"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2" i="12" l="1"/>
  <c r="C27" i="8"/>
  <c r="C43" i="17"/>
  <c r="C42" i="17"/>
  <c r="C41" i="17"/>
  <c r="C44" i="17" s="1"/>
  <c r="F39" i="17"/>
  <c r="F38" i="17"/>
  <c r="F37" i="17"/>
  <c r="F36" i="17"/>
  <c r="F35" i="17"/>
  <c r="F34" i="17"/>
  <c r="F33" i="17"/>
  <c r="J21" i="17"/>
  <c r="C24" i="17" s="1"/>
  <c r="C26" i="17" s="1"/>
  <c r="H21" i="17"/>
  <c r="I20" i="17"/>
  <c r="G20" i="17"/>
  <c r="F20" i="17"/>
  <c r="E20" i="17"/>
  <c r="D20" i="17"/>
  <c r="C20" i="17"/>
  <c r="J18" i="17"/>
  <c r="H18" i="17"/>
  <c r="J17" i="17"/>
  <c r="H17" i="17"/>
  <c r="J16" i="17"/>
  <c r="H16" i="17"/>
  <c r="J15" i="17"/>
  <c r="H15" i="17"/>
  <c r="J14" i="17"/>
  <c r="H14" i="17"/>
  <c r="J13" i="17"/>
  <c r="H13" i="17"/>
  <c r="J12" i="17"/>
  <c r="H12" i="17"/>
  <c r="J11" i="17"/>
  <c r="H11" i="17"/>
  <c r="J10" i="17"/>
  <c r="H10" i="17"/>
  <c r="J9" i="17"/>
  <c r="H9" i="17"/>
  <c r="J8" i="17"/>
  <c r="H8" i="17"/>
  <c r="J7" i="17"/>
  <c r="J20" i="17" s="1"/>
  <c r="C25" i="17" s="1"/>
  <c r="H7" i="17"/>
  <c r="H20" i="17" s="1"/>
  <c r="C21" i="16"/>
  <c r="C10" i="16"/>
  <c r="D7" i="16"/>
  <c r="E14" i="15"/>
  <c r="D14" i="15"/>
  <c r="D13" i="15"/>
  <c r="E13" i="15" s="1"/>
  <c r="D12" i="15"/>
  <c r="D7" i="15"/>
  <c r="E7" i="15" s="1"/>
  <c r="F7" i="15" s="1"/>
  <c r="C24" i="14"/>
  <c r="C25" i="14" s="1"/>
  <c r="C21" i="14"/>
  <c r="D14" i="14"/>
  <c r="D13" i="14"/>
  <c r="D12" i="14"/>
  <c r="D11" i="14"/>
  <c r="D10" i="14"/>
  <c r="D9" i="14"/>
  <c r="D8" i="14"/>
  <c r="D7" i="14"/>
  <c r="D16" i="14" s="1"/>
  <c r="J31" i="13"/>
  <c r="I31" i="13"/>
  <c r="D31" i="13"/>
  <c r="C31" i="13"/>
  <c r="C33" i="10" s="1"/>
  <c r="E30" i="13"/>
  <c r="D30" i="13"/>
  <c r="C30" i="13"/>
  <c r="G28" i="13"/>
  <c r="F28" i="13"/>
  <c r="F31" i="13" s="1"/>
  <c r="E28" i="13"/>
  <c r="E31" i="13" s="1"/>
  <c r="D28" i="13"/>
  <c r="C28" i="13"/>
  <c r="J27" i="13"/>
  <c r="I27" i="13"/>
  <c r="H27" i="13"/>
  <c r="H31" i="13" s="1"/>
  <c r="G27" i="13"/>
  <c r="G31" i="13" s="1"/>
  <c r="F27" i="13"/>
  <c r="E27" i="13"/>
  <c r="D27" i="13"/>
  <c r="C27" i="13"/>
  <c r="E21" i="13"/>
  <c r="C21" i="13"/>
  <c r="E20" i="13"/>
  <c r="E17" i="13"/>
  <c r="E16" i="13"/>
  <c r="C9" i="13"/>
  <c r="C11" i="13" s="1"/>
  <c r="C8" i="13"/>
  <c r="C7" i="13"/>
  <c r="C28" i="12"/>
  <c r="C29" i="12" s="1"/>
  <c r="C31" i="12" s="1"/>
  <c r="C34" i="12" s="1"/>
  <c r="C19" i="12"/>
  <c r="C18" i="12"/>
  <c r="C17" i="12"/>
  <c r="C16" i="12"/>
  <c r="C7" i="12"/>
  <c r="C21" i="11"/>
  <c r="C19" i="11"/>
  <c r="E14" i="11"/>
  <c r="D14" i="11"/>
  <c r="C14" i="11"/>
  <c r="F13" i="11"/>
  <c r="F12" i="11"/>
  <c r="F11" i="11"/>
  <c r="F10" i="11"/>
  <c r="F9" i="11"/>
  <c r="F8" i="11"/>
  <c r="F7" i="11"/>
  <c r="C62" i="10"/>
  <c r="D59" i="10"/>
  <c r="C59" i="10"/>
  <c r="C58" i="10"/>
  <c r="C60" i="10" s="1"/>
  <c r="D50" i="10"/>
  <c r="C50" i="10"/>
  <c r="D46" i="10"/>
  <c r="C46" i="10"/>
  <c r="D37" i="10"/>
  <c r="C37" i="10"/>
  <c r="D34" i="10"/>
  <c r="C34" i="10"/>
  <c r="D33" i="10"/>
  <c r="D25" i="10"/>
  <c r="C25" i="10"/>
  <c r="D24" i="10"/>
  <c r="C24" i="10"/>
  <c r="D21" i="10"/>
  <c r="C21" i="10"/>
  <c r="D20" i="10"/>
  <c r="C20" i="10"/>
  <c r="C15" i="10"/>
  <c r="D14" i="10"/>
  <c r="C13" i="10"/>
  <c r="C11" i="10"/>
  <c r="C7" i="10"/>
  <c r="C12" i="9"/>
  <c r="C9" i="9"/>
  <c r="E7" i="9"/>
  <c r="D20" i="8"/>
  <c r="E18" i="8"/>
  <c r="D18" i="8"/>
  <c r="C18" i="8"/>
  <c r="E11" i="8"/>
  <c r="E20" i="8" s="1"/>
  <c r="E7" i="16" s="1"/>
  <c r="D11" i="8"/>
  <c r="C11" i="8"/>
  <c r="C39" i="6"/>
  <c r="C37" i="6"/>
  <c r="C35" i="6"/>
  <c r="C30" i="6"/>
  <c r="F12" i="6"/>
  <c r="J11" i="6"/>
  <c r="I11" i="6"/>
  <c r="H11" i="6"/>
  <c r="G11" i="6"/>
  <c r="F11" i="6"/>
  <c r="E11" i="6"/>
  <c r="D11" i="6"/>
  <c r="C11" i="6"/>
  <c r="J9" i="6"/>
  <c r="I9" i="6"/>
  <c r="H9" i="6"/>
  <c r="G9" i="6"/>
  <c r="F9" i="6"/>
  <c r="E9" i="6"/>
  <c r="D9" i="6"/>
  <c r="C9" i="6"/>
  <c r="D7" i="6"/>
  <c r="C7" i="6"/>
  <c r="C16" i="6" s="1"/>
  <c r="G19" i="5"/>
  <c r="H14" i="5"/>
  <c r="G14" i="5"/>
  <c r="F14" i="5"/>
  <c r="E14" i="5"/>
  <c r="H19" i="4"/>
  <c r="D8" i="9" s="1"/>
  <c r="G19" i="4"/>
  <c r="C8" i="9" s="1"/>
  <c r="E8" i="9" s="1"/>
  <c r="F19" i="4"/>
  <c r="E19" i="4"/>
  <c r="H15" i="4"/>
  <c r="G14" i="4"/>
  <c r="F14" i="4"/>
  <c r="E14" i="4"/>
  <c r="D14" i="4"/>
  <c r="H13" i="4"/>
  <c r="H12" i="4"/>
  <c r="H11" i="4"/>
  <c r="H10" i="4"/>
  <c r="H9" i="4"/>
  <c r="H8" i="4"/>
  <c r="H7" i="4"/>
  <c r="H14" i="4" s="1"/>
  <c r="C21" i="4" s="1"/>
  <c r="I12" i="3"/>
  <c r="F12" i="3"/>
  <c r="D8" i="15" s="1"/>
  <c r="E12" i="3"/>
  <c r="D12" i="3"/>
  <c r="C12" i="3"/>
  <c r="I8" i="3"/>
  <c r="H8" i="3"/>
  <c r="G8" i="3"/>
  <c r="F8" i="3"/>
  <c r="E8" i="3"/>
  <c r="D8" i="3"/>
  <c r="I7" i="3"/>
  <c r="F7" i="6" s="1"/>
  <c r="G7" i="3"/>
  <c r="H7" i="3" s="1"/>
  <c r="D58" i="10" s="1"/>
  <c r="D60" i="10" s="1"/>
  <c r="C72" i="2"/>
  <c r="C46" i="2"/>
  <c r="C18" i="11" s="1"/>
  <c r="C44" i="2"/>
  <c r="C41" i="2"/>
  <c r="C34" i="2"/>
  <c r="D38" i="10" s="1"/>
  <c r="C27" i="2"/>
  <c r="C29" i="2" s="1"/>
  <c r="C26" i="2"/>
  <c r="C8" i="10" s="1"/>
  <c r="C25" i="2"/>
  <c r="C19" i="2"/>
  <c r="E19" i="5" s="1"/>
  <c r="C18" i="2"/>
  <c r="C14" i="2"/>
  <c r="C21" i="2" s="1"/>
  <c r="C12" i="2"/>
  <c r="C11" i="2"/>
  <c r="G14" i="15" s="1"/>
  <c r="C17" i="1"/>
  <c r="C16" i="1"/>
  <c r="C14" i="1"/>
  <c r="C13" i="1"/>
  <c r="D44" i="10" l="1"/>
  <c r="C10" i="10"/>
  <c r="C44" i="10"/>
  <c r="C61" i="2"/>
  <c r="C11" i="12"/>
  <c r="F16" i="13"/>
  <c r="F18" i="13"/>
  <c r="F17" i="13"/>
  <c r="E8" i="15"/>
  <c r="F8" i="15" s="1"/>
  <c r="C8" i="12"/>
  <c r="G12" i="3"/>
  <c r="E7" i="6"/>
  <c r="D26" i="10"/>
  <c r="D47" i="10" s="1"/>
  <c r="D48" i="10" s="1"/>
  <c r="F13" i="15"/>
  <c r="D17" i="6"/>
  <c r="D8" i="6"/>
  <c r="C20" i="8"/>
  <c r="C18" i="1"/>
  <c r="H12" i="3"/>
  <c r="E8" i="16"/>
  <c r="E9" i="16"/>
  <c r="E11" i="16" s="1"/>
  <c r="F7" i="16"/>
  <c r="C20" i="12"/>
  <c r="C9" i="12" s="1"/>
  <c r="F14" i="15"/>
  <c r="F20" i="13"/>
  <c r="D18" i="6"/>
  <c r="D19" i="6" s="1"/>
  <c r="D35" i="10"/>
  <c r="D36" i="10" s="1"/>
  <c r="D22" i="10"/>
  <c r="D23" i="10" s="1"/>
  <c r="C22" i="13"/>
  <c r="D9" i="15"/>
  <c r="D12" i="9"/>
  <c r="C15" i="1"/>
  <c r="C20" i="14"/>
  <c r="C22" i="14" s="1"/>
  <c r="H15" i="5"/>
  <c r="E15" i="5"/>
  <c r="C20" i="2"/>
  <c r="C19" i="1" s="1"/>
  <c r="C10" i="6"/>
  <c r="C13" i="6" s="1"/>
  <c r="C32" i="12"/>
  <c r="C33" i="12" s="1"/>
  <c r="C9" i="10"/>
  <c r="C18" i="6"/>
  <c r="C12" i="6"/>
  <c r="C17" i="6"/>
  <c r="C61" i="10"/>
  <c r="C63" i="10" s="1"/>
  <c r="F19" i="5"/>
  <c r="H19" i="5" s="1"/>
  <c r="D9" i="9" s="1"/>
  <c r="E9" i="9" s="1"/>
  <c r="D10" i="6"/>
  <c r="D16" i="6"/>
  <c r="D10" i="15"/>
  <c r="D8" i="16"/>
  <c r="D9" i="16" s="1"/>
  <c r="D11" i="16" s="1"/>
  <c r="C45" i="17"/>
  <c r="C46" i="17" s="1"/>
  <c r="C47" i="2"/>
  <c r="F17" i="6"/>
  <c r="F18" i="6"/>
  <c r="C19" i="6"/>
  <c r="C14" i="10"/>
  <c r="F14" i="11"/>
  <c r="C17" i="11" s="1"/>
  <c r="C20" i="11" s="1"/>
  <c r="C22" i="11" s="1"/>
  <c r="E12" i="9"/>
  <c r="J7" i="3"/>
  <c r="F10" i="6"/>
  <c r="F13" i="6" s="1"/>
  <c r="D12" i="6"/>
  <c r="F16" i="6"/>
  <c r="E12" i="15"/>
  <c r="F12" i="15" s="1"/>
  <c r="C12" i="10"/>
  <c r="C38" i="10"/>
  <c r="D13" i="16" l="1"/>
  <c r="G15" i="5"/>
  <c r="F15" i="5"/>
  <c r="F15" i="6"/>
  <c r="F14" i="6"/>
  <c r="E10" i="15"/>
  <c r="F10" i="15" s="1"/>
  <c r="J8" i="3"/>
  <c r="J12" i="3"/>
  <c r="G7" i="6"/>
  <c r="K7" i="3"/>
  <c r="D17" i="12"/>
  <c r="E12" i="6"/>
  <c r="E16" i="6"/>
  <c r="E10" i="6"/>
  <c r="E18" i="6"/>
  <c r="E19" i="6" s="1"/>
  <c r="E8" i="6"/>
  <c r="E17" i="6"/>
  <c r="D18" i="12"/>
  <c r="E13" i="16"/>
  <c r="C14" i="6"/>
  <c r="C15" i="6" s="1"/>
  <c r="C20" i="6" s="1"/>
  <c r="D13" i="6"/>
  <c r="D8" i="12"/>
  <c r="E9" i="15"/>
  <c r="F9" i="15"/>
  <c r="D9" i="12"/>
  <c r="D19" i="12"/>
  <c r="C7" i="16"/>
  <c r="C22" i="10"/>
  <c r="C35" i="10"/>
  <c r="F8" i="6"/>
  <c r="D7" i="12"/>
  <c r="F8" i="16"/>
  <c r="G7" i="16"/>
  <c r="F9" i="16"/>
  <c r="F11" i="16" s="1"/>
  <c r="F13" i="16" s="1"/>
  <c r="D16" i="12"/>
  <c r="D39" i="10"/>
  <c r="D51" i="10" s="1"/>
  <c r="D52" i="10" s="1"/>
  <c r="E12" i="16"/>
  <c r="D12" i="16"/>
  <c r="C22" i="6"/>
  <c r="C12" i="16"/>
  <c r="C31" i="6"/>
  <c r="J22" i="6"/>
  <c r="I12" i="16"/>
  <c r="H22" i="6"/>
  <c r="H12" i="16"/>
  <c r="G22" i="6"/>
  <c r="G12" i="16"/>
  <c r="F22" i="6"/>
  <c r="I22" i="6"/>
  <c r="J12" i="16"/>
  <c r="K12" i="16" s="1"/>
  <c r="E22" i="6"/>
  <c r="F12" i="16"/>
  <c r="D22" i="6"/>
  <c r="D11" i="15" l="1"/>
  <c r="C23" i="6"/>
  <c r="K12" i="3"/>
  <c r="L7" i="3"/>
  <c r="H7" i="6"/>
  <c r="K8" i="3"/>
  <c r="D14" i="6"/>
  <c r="D15" i="6"/>
  <c r="D20" i="6" s="1"/>
  <c r="D23" i="6" s="1"/>
  <c r="G16" i="6"/>
  <c r="G10" i="6"/>
  <c r="G18" i="6"/>
  <c r="G19" i="6" s="1"/>
  <c r="G12" i="6"/>
  <c r="G8" i="6"/>
  <c r="G17" i="6"/>
  <c r="C23" i="10"/>
  <c r="C26" i="10"/>
  <c r="C47" i="10" s="1"/>
  <c r="C48" i="10" s="1"/>
  <c r="C8" i="16"/>
  <c r="C9" i="16" s="1"/>
  <c r="C11" i="16" s="1"/>
  <c r="C13" i="16" s="1"/>
  <c r="G8" i="16"/>
  <c r="H7" i="16"/>
  <c r="G9" i="16"/>
  <c r="G11" i="16" s="1"/>
  <c r="G13" i="16" s="1"/>
  <c r="D11" i="12"/>
  <c r="C36" i="10"/>
  <c r="C39" i="10"/>
  <c r="C51" i="10" s="1"/>
  <c r="C52" i="10" s="1"/>
  <c r="F19" i="6"/>
  <c r="F20" i="6" s="1"/>
  <c r="F23" i="6" s="1"/>
  <c r="E13" i="6"/>
  <c r="M7" i="3" l="1"/>
  <c r="I7" i="6"/>
  <c r="L8" i="3"/>
  <c r="L12" i="3"/>
  <c r="E14" i="6"/>
  <c r="E15" i="6"/>
  <c r="E20" i="6" s="1"/>
  <c r="E23" i="6" s="1"/>
  <c r="H18" i="6"/>
  <c r="H19" i="6" s="1"/>
  <c r="H12" i="6"/>
  <c r="H16" i="6"/>
  <c r="H17" i="6"/>
  <c r="H8" i="6"/>
  <c r="H10" i="6"/>
  <c r="G13" i="6"/>
  <c r="I7" i="16"/>
  <c r="H8" i="16"/>
  <c r="H9" i="16" s="1"/>
  <c r="H11" i="16" s="1"/>
  <c r="H13" i="16" s="1"/>
  <c r="E11" i="15"/>
  <c r="F11" i="15" s="1"/>
  <c r="I9" i="16" l="1"/>
  <c r="I11" i="16" s="1"/>
  <c r="I13" i="16" s="1"/>
  <c r="I8" i="16"/>
  <c r="J7" i="16"/>
  <c r="G14" i="6"/>
  <c r="G15" i="6" s="1"/>
  <c r="G20" i="6" s="1"/>
  <c r="G23" i="6" s="1"/>
  <c r="I8" i="6"/>
  <c r="I17" i="6"/>
  <c r="I18" i="6"/>
  <c r="I19" i="6" s="1"/>
  <c r="I12" i="6"/>
  <c r="I16" i="6"/>
  <c r="I10" i="6"/>
  <c r="I13" i="6" s="1"/>
  <c r="J7" i="6"/>
  <c r="M8" i="3"/>
  <c r="M12" i="3"/>
  <c r="H13" i="6"/>
  <c r="I14" i="6" l="1"/>
  <c r="I15" i="6" s="1"/>
  <c r="I20" i="6" s="1"/>
  <c r="I23" i="6" s="1"/>
  <c r="H14" i="6"/>
  <c r="H15" i="6" s="1"/>
  <c r="H20" i="6" s="1"/>
  <c r="H23" i="6" s="1"/>
  <c r="J9" i="16"/>
  <c r="J8" i="16"/>
  <c r="J18" i="6"/>
  <c r="J19" i="6" s="1"/>
  <c r="J16" i="6"/>
  <c r="J8" i="6"/>
  <c r="J17" i="6"/>
  <c r="J12" i="6"/>
  <c r="J10" i="6"/>
  <c r="J13" i="6" s="1"/>
  <c r="J14" i="6" l="1"/>
  <c r="J15" i="6" s="1"/>
  <c r="J20" i="6" s="1"/>
  <c r="K11" i="16"/>
  <c r="K13" i="16" s="1"/>
  <c r="C19" i="16" s="1"/>
  <c r="J11" i="16"/>
  <c r="J13" i="16" s="1"/>
  <c r="C18" i="16" s="1"/>
  <c r="C29" i="6" l="1"/>
  <c r="J23" i="6"/>
  <c r="C28" i="6" s="1"/>
  <c r="C32" i="6"/>
  <c r="C33" i="6" s="1"/>
  <c r="C11" i="7"/>
  <c r="F15" i="7"/>
  <c r="C10" i="7"/>
  <c r="H9" i="7"/>
  <c r="H15" i="7"/>
  <c r="H10" i="7"/>
  <c r="G12" i="7"/>
  <c r="F12" i="7"/>
  <c r="G10" i="7"/>
  <c r="G15" i="7"/>
  <c r="G13" i="7"/>
  <c r="G9" i="7"/>
  <c r="D14" i="7"/>
  <c r="C9" i="7"/>
  <c r="F11" i="7"/>
  <c r="D15" i="7"/>
  <c r="E15" i="7"/>
  <c r="E11" i="7"/>
  <c r="G11" i="7"/>
  <c r="E14" i="7"/>
  <c r="D12" i="7"/>
  <c r="H14" i="7"/>
  <c r="H13" i="7"/>
  <c r="D13" i="7"/>
  <c r="H12" i="7"/>
  <c r="F9" i="7"/>
  <c r="C14" i="7"/>
  <c r="E12" i="7"/>
  <c r="D11" i="7"/>
  <c r="F14" i="7"/>
  <c r="F10" i="7"/>
  <c r="F13" i="7"/>
  <c r="H11" i="7"/>
  <c r="C15" i="7"/>
  <c r="D10" i="7"/>
  <c r="G14" i="7"/>
  <c r="E13" i="7"/>
  <c r="E10" i="7"/>
  <c r="D9" i="7"/>
  <c r="C13" i="7"/>
  <c r="C12" i="7"/>
  <c r="E9" i="7"/>
  <c r="C20" i="16"/>
  <c r="C22" i="16" s="1"/>
  <c r="C24" i="16" l="1"/>
  <c r="C23" i="16"/>
  <c r="C10" i="9"/>
  <c r="E10" i="9" s="1"/>
  <c r="D10" i="9"/>
  <c r="C34" i="6"/>
  <c r="C36" i="6" s="1"/>
  <c r="C38" i="6" s="1"/>
  <c r="E11" i="9" l="1"/>
  <c r="D11" i="9"/>
  <c r="C11" i="9"/>
  <c r="C40" i="6"/>
</calcChain>
</file>

<file path=xl/sharedStrings.xml><?xml version="1.0" encoding="utf-8"?>
<sst xmlns="http://schemas.openxmlformats.org/spreadsheetml/2006/main" count="688" uniqueCount="580">
  <si>
    <t>Project Harbor</t>
  </si>
  <si>
    <t>This workbook estimates what Salesforce would pay to acquire HubSpot, where the value comes from, and what happens to Salesforce's earnings after the deal. Every number can be changed on the Assumptions tab and the whole model recalculates automatically.</t>
  </si>
  <si>
    <t>Headline numbers</t>
  </si>
  <si>
    <t>Offer price per share</t>
  </si>
  <si>
    <t>Recent average share price</t>
  </si>
  <si>
    <t>Premium being paid</t>
  </si>
  <si>
    <t>Total shares being bought (millions)</t>
  </si>
  <si>
    <t>Total cost (millions $)</t>
  </si>
  <si>
    <t>Enterprise value (millions $)</t>
  </si>
  <si>
    <t>Price vs. revenue multiple</t>
  </si>
  <si>
    <t>Guide to the tabs</t>
  </si>
  <si>
    <t>Assumptions</t>
  </si>
  <si>
    <t>Target Financials</t>
  </si>
  <si>
    <t>HubSpot's actual past performance (sales, profits, customers) and projections.</t>
  </si>
  <si>
    <t>Trading Comps</t>
  </si>
  <si>
    <t>Other public software companies similar to HubSpot, used as price reference points.</t>
  </si>
  <si>
    <t>Precedent Trans</t>
  </si>
  <si>
    <t>Past acquisitions of similar software companies, used as deal reference points.</t>
  </si>
  <si>
    <t>Beta Unlever</t>
  </si>
  <si>
    <t>Calculates how risky HubSpot's stock is, based on similar companies.</t>
  </si>
  <si>
    <t>DCF</t>
  </si>
  <si>
    <t>Estimates HubSpot's value by adding up all the cash it will generate in the future.</t>
  </si>
  <si>
    <t>DCF Sensitivity</t>
  </si>
  <si>
    <t>Shows how the DCF value changes if key assumptions move up or down.</t>
  </si>
  <si>
    <t>Synergies</t>
  </si>
  <si>
    <t>Estimates the extra revenue and cost savings Salesforce gets from owning HubSpot.</t>
  </si>
  <si>
    <t>Sources &amp; Uses</t>
  </si>
  <si>
    <t>How Salesforce will pay for the deal (debt, stock, cash) and where the money goes.</t>
  </si>
  <si>
    <t>Purchase Price Alloc</t>
  </si>
  <si>
    <t>Accounting allocation of the price paid across the assets being acquired.</t>
  </si>
  <si>
    <t>Premiums Paid</t>
  </si>
  <si>
    <t>Comparison of the offer price to recent stock prices and past deal premiums.</t>
  </si>
  <si>
    <t>Contribution</t>
  </si>
  <si>
    <t>How much each side contributes to the combined company in revenue and profit.</t>
  </si>
  <si>
    <t>Returns</t>
  </si>
  <si>
    <t>Total value Salesforce shareholders capture from doing the deal.</t>
  </si>
  <si>
    <t>Football Field</t>
  </si>
  <si>
    <t>Accretion-Dilution</t>
  </si>
  <si>
    <t>Whether the deal makes Salesforce's earnings per share go up or down.</t>
  </si>
  <si>
    <t>Appendix</t>
  </si>
  <si>
    <t>Extra peer data and a statistical regression supporting the price analysis.</t>
  </si>
  <si>
    <t>ASSUMPTIONS &amp; KEY INPUTS</t>
  </si>
  <si>
    <t>OFFER &amp; STRUCTURE</t>
  </si>
  <si>
    <t>Value</t>
  </si>
  <si>
    <t>Note</t>
  </si>
  <si>
    <t>Proposed Offer Price ($/share)</t>
  </si>
  <si>
    <t>Negotiated offer</t>
  </si>
  <si>
    <t>30-Day VWAP ($/share)</t>
  </si>
  <si>
    <t>HUBS 30-day VWAP, May 2026</t>
  </si>
  <si>
    <t>Diluted Shares Outstanding (M)</t>
  </si>
  <si>
    <t>HUBS Q1'26 10-Q diluted share count</t>
  </si>
  <si>
    <t>Implied Equity Value ($M)</t>
  </si>
  <si>
    <t>Offer × Diluted Shares</t>
  </si>
  <si>
    <t>Premium to 30-Day VWAP</t>
  </si>
  <si>
    <t>($300 / $239.28) − 1</t>
  </si>
  <si>
    <t>Net Cash &amp; Equivalents ($M)</t>
  </si>
  <si>
    <t>HUBS Q1'26 cash less debt</t>
  </si>
  <si>
    <t>Implied Enterprise Value ($M)</t>
  </si>
  <si>
    <t>Equity Value − Net Cash</t>
  </si>
  <si>
    <t>TARGET REVENUE (Source: 'Target Financials')</t>
  </si>
  <si>
    <t>FY2025A Revenue ($M)</t>
  </si>
  <si>
    <t>Link to financials sheet</t>
  </si>
  <si>
    <t>FY2026E Revenue ($M)</t>
  </si>
  <si>
    <t>Link (consensus estimate)</t>
  </si>
  <si>
    <t>EV / FY2026E Revenue</t>
  </si>
  <si>
    <t>Implied transaction multiple</t>
  </si>
  <si>
    <t>EV / FY2025A Revenue (LTM proxy)</t>
  </si>
  <si>
    <t>CONSIDERATION MIX</t>
  </si>
  <si>
    <t>Cash Consideration % of Equity Value</t>
  </si>
  <si>
    <t>Negotiated mix</t>
  </si>
  <si>
    <t>Stock Consideration % of Equity Value</t>
  </si>
  <si>
    <t>1 − cash %</t>
  </si>
  <si>
    <t>Cash Consideration ($M)</t>
  </si>
  <si>
    <t>Stock Consideration ($M)</t>
  </si>
  <si>
    <t>CRM 30-Day VWAP ($/share)</t>
  </si>
  <si>
    <t>CRM stock price for stock issuance</t>
  </si>
  <si>
    <t>New CRM Shares Issued (M)</t>
  </si>
  <si>
    <t>Stock consideration / CRM VWAP</t>
  </si>
  <si>
    <t>DEBT FINANCING</t>
  </si>
  <si>
    <t>New Term Loan ($M)</t>
  </si>
  <si>
    <t>5-year senior unsecured</t>
  </si>
  <si>
    <t>Term Loan Interest Rate</t>
  </si>
  <si>
    <t>Investment-grade pricing</t>
  </si>
  <si>
    <t>Annual Interest Expense ($M)</t>
  </si>
  <si>
    <t>Debt × rate</t>
  </si>
  <si>
    <t>One-time Integration Costs Y1 ($M)</t>
  </si>
  <si>
    <t>Severance, systems, branding, migration</t>
  </si>
  <si>
    <t>DCF INPUTS</t>
  </si>
  <si>
    <t>Risk-Free Rate (10Y UST)</t>
  </si>
  <si>
    <t>May 2026 10Y Treasury</t>
  </si>
  <si>
    <t>Equity Risk Premium</t>
  </si>
  <si>
    <t>Damodaran ERP estimate</t>
  </si>
  <si>
    <t>Beta (HUBS)</t>
  </si>
  <si>
    <t>Bloomberg 2Y weekly beta</t>
  </si>
  <si>
    <t>Cost of Equity (CAPM)</t>
  </si>
  <si>
    <t>Rf + β × ERP</t>
  </si>
  <si>
    <t>Cost of Debt (pre-tax)</t>
  </si>
  <si>
    <t>Same as term loan rate</t>
  </si>
  <si>
    <t>Effective Tax Rate</t>
  </si>
  <si>
    <t>U.S. blended federal + state</t>
  </si>
  <si>
    <t>Cost of Debt (after-tax)</t>
  </si>
  <si>
    <t>Kd × (1 − t)</t>
  </si>
  <si>
    <t>Equity Weight</t>
  </si>
  <si>
    <t>Target capital structure</t>
  </si>
  <si>
    <t>Debt Weight</t>
  </si>
  <si>
    <t>1 − equity weight</t>
  </si>
  <si>
    <t>WACC</t>
  </si>
  <si>
    <t>we×Ke + wd×Kd×(1−t)</t>
  </si>
  <si>
    <t>Terminal Growth Rate</t>
  </si>
  <si>
    <t>Durable SaaS subscription economics</t>
  </si>
  <si>
    <t>D&amp;A as % of Revenue</t>
  </si>
  <si>
    <t>Asset-light SaaS infrastructure</t>
  </si>
  <si>
    <t>CapEx as % of Revenue</t>
  </si>
  <si>
    <t>Matches D&amp;A, steady state</t>
  </si>
  <si>
    <t>Change in NWC as % of Revenue</t>
  </si>
  <si>
    <t>Net-zero (deferred rev offsets AR)</t>
  </si>
  <si>
    <t>PRO-FORMA / EPS INPUTS</t>
  </si>
  <si>
    <t>Salesforce Diluted Shares Outstanding (M)</t>
  </si>
  <si>
    <t>CRM Q4 FY26 10-K diluted</t>
  </si>
  <si>
    <t>CRM Standalone Y1 Non-GAAP EPS ($)</t>
  </si>
  <si>
    <t>Consensus FY27E</t>
  </si>
  <si>
    <t>CRM Standalone Y2 Non-GAAP EPS ($)</t>
  </si>
  <si>
    <t>Consensus FY28E</t>
  </si>
  <si>
    <t>Y1 HUBS Net Income Contribution ($M)</t>
  </si>
  <si>
    <t>Partial-year (deal closes mid-FY)</t>
  </si>
  <si>
    <t>Y2 HUBS Net Income Contribution ($M)</t>
  </si>
  <si>
    <t>Full year FY28E NOPAT</t>
  </si>
  <si>
    <t>SHARE COUNTS, POST DEAL</t>
  </si>
  <si>
    <t>Pro-forma CRM Diluted Shares (M)</t>
  </si>
  <si>
    <t>Standalone + new shares</t>
  </si>
  <si>
    <t>STOCK-BASED COMPENSATION (treated as real cash expense)</t>
  </si>
  <si>
    <t>SBC % of Revenue, FY26E</t>
  </si>
  <si>
    <t>HUBS LTM SBC ~13% of revenue; declines as SBC scales sub-linearly</t>
  </si>
  <si>
    <t>SBC % of Revenue, terminal (FY33E)</t>
  </si>
  <si>
    <t>Industry mature-stage SaaS SBC level</t>
  </si>
  <si>
    <t>WORKING CAPITAL (% of revenue, SaaS profile)</t>
  </si>
  <si>
    <t>Accounts Receivable % of Revenue</t>
  </si>
  <si>
    <t>DSO ~62 days</t>
  </si>
  <si>
    <t>Prepaid Expenses % of Revenue</t>
  </si>
  <si>
    <t>Vendor prepayments, cloud commits</t>
  </si>
  <si>
    <t>Deferred Revenue % of Revenue</t>
  </si>
  <si>
    <t>Annual contracts billed upfront</t>
  </si>
  <si>
    <t>Accrued Expenses % of Revenue</t>
  </si>
  <si>
    <t>Compensation, taxes</t>
  </si>
  <si>
    <t>Net Working Capital % of Revenue</t>
  </si>
  <si>
    <t>AR + Prepaid − Def Rev − Accrued (typically negative for SaaS)</t>
  </si>
  <si>
    <t>HUBSPOT, INC., FINANCIAL HISTORY &amp; FORECAST</t>
  </si>
  <si>
    <t>INCOME STATEMENT, HISTORICAL &amp; PROJECTED</t>
  </si>
  <si>
    <t>Metric</t>
  </si>
  <si>
    <t>FY2023A</t>
  </si>
  <si>
    <t>FY2024A</t>
  </si>
  <si>
    <t>FY2025A</t>
  </si>
  <si>
    <t>FY2026E</t>
  </si>
  <si>
    <t>FY2027E</t>
  </si>
  <si>
    <t>FY2028E</t>
  </si>
  <si>
    <t>FY2029E</t>
  </si>
  <si>
    <t>FY2030E</t>
  </si>
  <si>
    <t>FY2031E</t>
  </si>
  <si>
    <t>FY2032E</t>
  </si>
  <si>
    <t>FY2033E</t>
  </si>
  <si>
    <t>Revenue</t>
  </si>
  <si>
    <t>Revenue Growth %</t>
  </si>
  <si>
    <t>Forward Growth Assumption</t>
  </si>
  <si>
    <t>Non-GAAP Gross Margin %</t>
  </si>
  <si>
    <t>Non-GAAP Op. Margin %</t>
  </si>
  <si>
    <t>Non-GAAP Op. Income</t>
  </si>
  <si>
    <t>Total Customers (000)</t>
  </si>
  <si>
    <t>Net Dollar Retention %</t>
  </si>
  <si>
    <t>Notes:</t>
  </si>
  <si>
    <t>• Revenue actuals from HubSpot 10-K filings (FY2023 to FY2025). FY2026E from consensus analyst estimates as of May 2026.</t>
  </si>
  <si>
    <t>• Forward years driven by growth-rate assumptions in row 9 (yellow). Adjust to flex the DCF.</t>
  </si>
  <si>
    <t>• Operating margin glide path reflects fixed-cost leverage at scale: 20% (FY26E) → 27% (FY33E).</t>
  </si>
  <si>
    <t>• D&amp;A and CapEx are each ~3% of revenue (set on Assumptions tab). Net working capital is held flat (deferred revenue offsets AR).</t>
  </si>
  <si>
    <t>• Non-GAAP figures exclude SBC and amortization of acquired intangibles.</t>
  </si>
  <si>
    <t>TRADING COMPARABLES, PUBLIC SAAS PEER SET</t>
  </si>
  <si>
    <t>PUBLIC SAAS PEER SET</t>
  </si>
  <si>
    <t>Company</t>
  </si>
  <si>
    <t>Mkt Cap ($M)</t>
  </si>
  <si>
    <t>EV ($M)</t>
  </si>
  <si>
    <t>NTM Rev ($M)</t>
  </si>
  <si>
    <t>Rev Gr. %</t>
  </si>
  <si>
    <t>GM %</t>
  </si>
  <si>
    <t>EV / NTM Rev</t>
  </si>
  <si>
    <t>Salesforce (CRM)</t>
  </si>
  <si>
    <t>ServiceNow (NOW)</t>
  </si>
  <si>
    <t>Freshworks (FRSH)</t>
  </si>
  <si>
    <t>monday.com (MNDY)</t>
  </si>
  <si>
    <t>Zendesk (PE-Owned)</t>
  </si>
  <si>
    <t>N/A</t>
  </si>
  <si>
    <t>Braze (BRZE)</t>
  </si>
  <si>
    <t>Sprout Social (SPT)</t>
  </si>
  <si>
    <t>Peer Median</t>
  </si>
  <si>
    <t>,</t>
  </si>
  <si>
    <t>HubSpot (HUBS), Current</t>
  </si>
  <si>
    <t>IMPLIED VALUATION AT PEER MULTIPLES (HUBS)</t>
  </si>
  <si>
    <t>Methodology</t>
  </si>
  <si>
    <t>Multiple Low</t>
  </si>
  <si>
    <t>Multiple High</t>
  </si>
  <si>
    <t>Implied EV Low ($M)</t>
  </si>
  <si>
    <t>Implied EV High ($M)</t>
  </si>
  <si>
    <t>Implied $/Share Low</t>
  </si>
  <si>
    <t>Implied $/Share High</t>
  </si>
  <si>
    <t>EV / NTM Revenue (peer median ± range)</t>
  </si>
  <si>
    <t>HUBS discount to peer median EV/NTM Rev</t>
  </si>
  <si>
    <t>• Peer set selected for comparable end-market exposure (CRM/marketing/customer-engagement SaaS).</t>
  </si>
  <si>
    <t>• Implied $/share = (Implied EV + Net Cash) / Diluted Shares, properly bridges EV to equity.</t>
  </si>
  <si>
    <t>• Multiple range (4.0x to 6.0x) sits modestly below peer median to reflect HUBS's slightly lower growth.</t>
  </si>
  <si>
    <t>• Zendesk taken private 2023 (Permira/H&amp;F); EV reflects take-private transaction value.</t>
  </si>
  <si>
    <t>PRECEDENT M&amp;A TRANSACTIONS, SAAS / CRM</t>
  </si>
  <si>
    <t>TRANSACTION COMPARABLES</t>
  </si>
  <si>
    <t>Acquirer</t>
  </si>
  <si>
    <t>Target</t>
  </si>
  <si>
    <t>Year</t>
  </si>
  <si>
    <t>EV / LTM Rev</t>
  </si>
  <si>
    <t>Premium to VWAP</t>
  </si>
  <si>
    <t>Salesforce</t>
  </si>
  <si>
    <t>Slack Technologies</t>
  </si>
  <si>
    <t>Tableau Software</t>
  </si>
  <si>
    <t>Permira/H&amp;F</t>
  </si>
  <si>
    <t>Zendesk</t>
  </si>
  <si>
    <t>SAP</t>
  </si>
  <si>
    <t>Qualtrics</t>
  </si>
  <si>
    <t>Thoma Bravo</t>
  </si>
  <si>
    <t>Ping Identity</t>
  </si>
  <si>
    <t>Informatica</t>
  </si>
  <si>
    <t>Own Company</t>
  </si>
  <si>
    <t>Median</t>
  </si>
  <si>
    <t>Salesforce (Proposed)</t>
  </si>
  <si>
    <t>HubSpot</t>
  </si>
  <si>
    <t>IMPLIED VALUATION AT PRECEDENT MULTIPLES</t>
  </si>
  <si>
    <t>EV / NTM Revenue (precedent range)</t>
  </si>
  <si>
    <t>• Median premium computed from 6 transactions with disclosed VWAP premiums (Own Company excluded).</t>
  </si>
  <si>
    <t>• Proposed transaction implies 4.4x LTM and 3.7x NTM, well below precedent medians (8.4x / 7.7x).</t>
  </si>
  <si>
    <t>• Discount reflects post-2022 SaaS multiple compression environment.</t>
  </si>
  <si>
    <t>DISCOUNTED CASH FLOW ANALYSIS</t>
  </si>
  <si>
    <t>FREE CASH FLOW BUILDUP, UNLEVERED, AFTER-TAX (SBC treated as real expense)</t>
  </si>
  <si>
    <t>($M)</t>
  </si>
  <si>
    <t>YoY growth</t>
  </si>
  <si>
    <t>Non-GAAP Op Margin</t>
  </si>
  <si>
    <t>Non-GAAP EBIT</t>
  </si>
  <si>
    <t>(−) SBC % of Revenue</t>
  </si>
  <si>
    <t>(−) SBC expense</t>
  </si>
  <si>
    <t>Adjusted EBIT (post-SBC)</t>
  </si>
  <si>
    <t>(−) Tax @ effective rate</t>
  </si>
  <si>
    <t>NOPAT</t>
  </si>
  <si>
    <t>(+) D&amp;A</t>
  </si>
  <si>
    <t>(−) CapEx</t>
  </si>
  <si>
    <t>NWC ($, level)</t>
  </si>
  <si>
    <t>(−) ΔNWC (growth-driven)</t>
  </si>
  <si>
    <t>Unlevered Free Cash Flow</t>
  </si>
  <si>
    <t>Discount period (year-end)</t>
  </si>
  <si>
    <t>Discount factor</t>
  </si>
  <si>
    <t>PV of FCF</t>
  </si>
  <si>
    <t>VALUATION SUMMARY</t>
  </si>
  <si>
    <t>Sum of PV of explicit FCFs ($M)</t>
  </si>
  <si>
    <t>Terminal year FCF (FY2033E)</t>
  </si>
  <si>
    <t>Terminal growth rate</t>
  </si>
  <si>
    <t>Terminal Value (Gordon Growth)</t>
  </si>
  <si>
    <t>PV of Terminal Value</t>
  </si>
  <si>
    <t>(+) Net cash</t>
  </si>
  <si>
    <t>Diluted shares (M)</t>
  </si>
  <si>
    <t>Implied Price per Share ($)</t>
  </si>
  <si>
    <t>Proposed Offer Price</t>
  </si>
  <si>
    <t>Premium / (Discount) of offer to DCF</t>
  </si>
  <si>
    <t>How to read this tab:</t>
  </si>
  <si>
    <t>• Stock-based compensation is treated as a real cost. Even though companies often exclude it from non-GAAP figures, it dilutes shareholders.</t>
  </si>
  <si>
    <t>• Working capital is a source of cash for SaaS due to deferred revenue exceeding AR, captured in ΔNWC line.</t>
  </si>
  <si>
    <t>• D&amp;A and CapEx held at 3% of revenue (offsetting); ΔNWC = NWC% × revenue growth.</t>
  </si>
  <si>
    <t>• Cash flows are discounted assuming they arrive at the end of each year.</t>
  </si>
  <si>
    <t>• Terminal value via Gordon Growth: FCF_2033 × (1+TGR) / (WACC−TGR).</t>
  </si>
  <si>
    <t>• See Beta Unlever tab for how we calculated the discount rate, and DCF Sensitivity to see how the answer changes under different assumptions.</t>
  </si>
  <si>
    <t>DCF SENSITIVITY, IMPLIED $/SHARE</t>
  </si>
  <si>
    <t>WACC × TERMINAL GROWTH RATE → IMPLIED $/SHARE</t>
  </si>
  <si>
    <t>WACC ↓ / TGR →</t>
  </si>
  <si>
    <t>• Base case (9.5% WACC, 4.0% TGR) highlighted in green. All other cells flex independently.</t>
  </si>
  <si>
    <t>• Implied $/share rises with lower WACC and higher TGR (and vice versa).</t>
  </si>
  <si>
    <t>• Across the plausible range, intrinsic value materially exceeds the $300 proposed offer in every cell.</t>
  </si>
  <si>
    <t>SYNERGY ANALYSIS, REVENUE &amp; COST</t>
  </si>
  <si>
    <t>REVENUE SYNERGIES</t>
  </si>
  <si>
    <t>Initiative</t>
  </si>
  <si>
    <t>Year 1</t>
  </si>
  <si>
    <t>Year 2</t>
  </si>
  <si>
    <t>Year 3</t>
  </si>
  <si>
    <t>Cross-sell Salesforce products to HUBS customers</t>
  </si>
  <si>
    <t>HubSpot as SMB on-ramp to Salesforce platform</t>
  </si>
  <si>
    <t>AI product bundling (Agentforce + Breeze AI)</t>
  </si>
  <si>
    <t>International channel leverage</t>
  </si>
  <si>
    <t>Revenue Synergy Subtotal</t>
  </si>
  <si>
    <t>COST SYNERGIES</t>
  </si>
  <si>
    <t>Infrastructure &amp; cloud platform consolidation</t>
  </si>
  <si>
    <t>Duplicate G&amp;A and corporate overhead elimination</t>
  </si>
  <si>
    <t>Vendor and procurement consolidation</t>
  </si>
  <si>
    <t>Cost Synergy Subtotal</t>
  </si>
  <si>
    <t>TOTAL SYNERGIES (Revenue + Cost)</t>
  </si>
  <si>
    <t>CROSS-SELL SYNERGY, BOTTOM-UP CHECK</t>
  </si>
  <si>
    <t>HubSpot Customer Base (000)</t>
  </si>
  <si>
    <t>Cross-sell Attach Rate (Y3 steady-state)</t>
  </si>
  <si>
    <t>Average Incremental ACV ($)</t>
  </si>
  <si>
    <t>Implied Cross-sell ARR ($M)</t>
  </si>
  <si>
    <t>• Numbers are annual, before tax. Year 3 reflects the full benefit once integration is complete.</t>
  </si>
  <si>
    <t>• There are $350M of one-time costs in Year 1 to combine the companies. Those are tracked separately, not subtracted here.</t>
  </si>
  <si>
    <t>• Cross-sell math: 248K customers × 13.5% attach × $12K ACV ≈ $402M, ties to revenue synergy line.</t>
  </si>
  <si>
    <t>FOOTBALL FIELD, VALUATION SUMMARY</t>
  </si>
  <si>
    <t>VALUATION METHODOLOGY SUMMARY</t>
  </si>
  <si>
    <t>Low ($/share)</t>
  </si>
  <si>
    <t>High ($/share)</t>
  </si>
  <si>
    <t>Midpoint</t>
  </si>
  <si>
    <t>Source / Note</t>
  </si>
  <si>
    <t>52-Week Trading Range</t>
  </si>
  <si>
    <t>HUBS 52-week trading range, May 2026</t>
  </si>
  <si>
    <t>Comparable Companies (4.0x to 6.0x NTM Rev)</t>
  </si>
  <si>
    <t>Public peer set, EV+net cash → equity</t>
  </si>
  <si>
    <t>Precedent Transactions (5.0x to 9.0x NTM Rev)</t>
  </si>
  <si>
    <t>M&amp;A precedent set, EV+net cash → equity</t>
  </si>
  <si>
    <t>DCF Analysis (WACC 8.5% to 11.5%, TGR 2.5% to 5.0%)</t>
  </si>
  <si>
    <t>Min/max of full sensitivity grid</t>
  </si>
  <si>
    <t>DCF Base Case (9.5% WACC / 4.0% TGR)</t>
  </si>
  <si>
    <t>Single-point intrinsic value</t>
  </si>
  <si>
    <t>PROPOSED OFFER PRICE</t>
  </si>
  <si>
    <t>Offer / Premium / Implied EV</t>
  </si>
  <si>
    <t>• Implied $/share for each methodology = (Implied EV + Net Cash) / Diluted Shares, proper bridge from EV to equity.</t>
  </si>
  <si>
    <t>• Proposed $300 offer is BELOW the low end of every fundamental valuation method.</t>
  </si>
  <si>
    <t>• The 52-week trading range reflects recent depressed market prices and isn't a fundamental measure of value.</t>
  </si>
  <si>
    <t>PRO FORMA ACCRETION / DILUTION, GAAP &amp; NON-GAAP</t>
  </si>
  <si>
    <t>Will the deal increase or decrease Salesforce's earnings per share? Shows both the accounting view (GAAP) and the operational view (non-GAAP) over the first two years.</t>
  </si>
  <si>
    <t>TRANSACTION STRUCTURE &amp; FINANCING</t>
  </si>
  <si>
    <t>Implied equity value ($M)</t>
  </si>
  <si>
    <t>Cash consideration ($M)</t>
  </si>
  <si>
    <t>Stock consideration ($M)</t>
  </si>
  <si>
    <t>New CRM shares issued (M)</t>
  </si>
  <si>
    <t>New term loan ($M)</t>
  </si>
  <si>
    <t>Annual interest expense ($M)</t>
  </si>
  <si>
    <t>One-time integration costs Y1</t>
  </si>
  <si>
    <t>Intangibles amortization Y1</t>
  </si>
  <si>
    <t>Deferred revenue write-down</t>
  </si>
  <si>
    <t>NON-GAAP NET INCOME BUILD</t>
  </si>
  <si>
    <t>CRM standalone Non-GAAP NI</t>
  </si>
  <si>
    <t>(+) HubSpot Non-GAAP NI contribution</t>
  </si>
  <si>
    <t>(+) Pre-tax synergies</t>
  </si>
  <si>
    <t>(−) Tax on synergies</t>
  </si>
  <si>
    <t>(−) Integration costs (after-tax)</t>
  </si>
  <si>
    <t>(−) Interest expense (after-tax)</t>
  </si>
  <si>
    <t>Pro forma Non-GAAP Net Income</t>
  </si>
  <si>
    <t>GAAP ADJUSTMENTS (incremental from Non-GAAP)</t>
  </si>
  <si>
    <t>CRM standalone GAAP NI</t>
  </si>
  <si>
    <t>(+) HubSpot GAAP NI contribution</t>
  </si>
  <si>
    <t>(−) Intangibles amortization (after-tax)</t>
  </si>
  <si>
    <t>(−) Deferred rev write-down impact (after-tax)</t>
  </si>
  <si>
    <t>Pro forma GAAP Net Income</t>
  </si>
  <si>
    <t>EPS COMPARISON</t>
  </si>
  <si>
    <t>Pro forma diluted shares (M)</t>
  </si>
  <si>
    <t>Non-GAAP Standalone EPS</t>
  </si>
  <si>
    <t>Non-GAAP Pro forma EPS</t>
  </si>
  <si>
    <t>Non-GAAP Accretion / (Dilution)</t>
  </si>
  <si>
    <t>GAAP Standalone EPS</t>
  </si>
  <si>
    <t>GAAP Pro forma EPS</t>
  </si>
  <si>
    <t>GAAP Accretion / (Dilution)</t>
  </si>
  <si>
    <t>REVENUE GROWTH ACCRETION</t>
  </si>
  <si>
    <t>CRM standalone revenue ($M)</t>
  </si>
  <si>
    <t>(+) HUBS revenue (net of def rev haircut Y1)</t>
  </si>
  <si>
    <t>(+) Revenue synergies</t>
  </si>
  <si>
    <t>Combined pro forma revenue</t>
  </si>
  <si>
    <t>Pro forma revenue growth</t>
  </si>
  <si>
    <t>CRM standalone growth</t>
  </si>
  <si>
    <t>Growth accretion (bps)</t>
  </si>
  <si>
    <t>• Non-GAAP earnings exclude two non-cash items (intangibles write-downs and stock-based comp). This is what Wall Street usually focuses on.</t>
  </si>
  <si>
    <t>• GAAP includes ~$610M Y1 intangibles amortization (per Purchase Price Alloc tab), material drag.</t>
  </si>
  <si>
    <t>• Year 1 has only a partial year of HubSpot's earnings, plus $350M of one-time integration costs and a $200M reduction to revenue from accounting rules.</t>
  </si>
  <si>
    <t>• From Year 2 onward, HubSpot contributes a full year, the one-time costs are gone, and synergies start ramping up.</t>
  </si>
  <si>
    <t>• Salesforce's standalone GAAP earnings per share is estimated based on Wall Street analyst estimates.</t>
  </si>
  <si>
    <t>BETA UNLEVERING &amp; RE-LEVERING (Hamada)</t>
  </si>
  <si>
    <t>Beta measures how much a stock moves with the overall market. We compute a fair beta for HubSpot by averaging similar companies, which feeds into the discount rate.</t>
  </si>
  <si>
    <t>COMPARABLE COMPANY BETAS</t>
  </si>
  <si>
    <t>Levered β</t>
  </si>
  <si>
    <t>Debt/Equity</t>
  </si>
  <si>
    <t>Tax rate</t>
  </si>
  <si>
    <t>Unlevered β</t>
  </si>
  <si>
    <t>Adobe (ADBE)</t>
  </si>
  <si>
    <t>Workday (WDAY)</t>
  </si>
  <si>
    <t>Atlassian (TEAM)</t>
  </si>
  <si>
    <t>RE-LEVER FOR HUBS TARGET CAPITAL STRUCTURE</t>
  </si>
  <si>
    <t>Median unlevered β (industry)</t>
  </si>
  <si>
    <t>HUBS target D/E ratio</t>
  </si>
  <si>
    <t>HUBS effective tax rate</t>
  </si>
  <si>
    <t>Re-levered β (HUBS)</t>
  </si>
  <si>
    <t>Beta used in DCF (Assumptions!C40)</t>
  </si>
  <si>
    <t>Variance</t>
  </si>
  <si>
    <t>How this works:</t>
  </si>
  <si>
    <t>• Hamada equation: βU = βL / (1 + (1−t) × D/E). Levered betas sourced from Bloomberg 2Y weekly.</t>
  </si>
  <si>
    <t>• After stripping out debt effects, we take the middle value across similar companies to get a clean industry-wide risk level.</t>
  </si>
  <si>
    <t>• Re-levering at HUBS target structure (5% debt) produces β ≈ 1.10, supports the Assumptions!C40 input.</t>
  </si>
  <si>
    <t>SOURCES &amp; USES OF FUNDS</t>
  </si>
  <si>
    <t>Where Salesforce gets the money to do the deal (debt, stock, cash) and how that money is spent. Sources must equal Uses, which is the balance check at the bottom.</t>
  </si>
  <si>
    <t>SOURCES</t>
  </si>
  <si>
    <t>Source</t>
  </si>
  <si>
    <t>$M</t>
  </si>
  <si>
    <t>% of total</t>
  </si>
  <si>
    <t>Term loan (5Y, IG pricing)</t>
  </si>
  <si>
    <t>5 year loan at 5.2% interest</t>
  </si>
  <si>
    <t>CRM stock issuance</t>
  </si>
  <si>
    <t>30% of the deal value, paid by giving HubSpot shareholders new Salesforce shares at the recent $246 price</t>
  </si>
  <si>
    <t>Salesforce balance sheet cash</t>
  </si>
  <si>
    <t>Plug: Total uses − Term loan − Stock</t>
  </si>
  <si>
    <t>Total Sources</t>
  </si>
  <si>
    <t>USES</t>
  </si>
  <si>
    <t>Use</t>
  </si>
  <si>
    <t>Equity purchase price</t>
  </si>
  <si>
    <t>52.33M shares × $300</t>
  </si>
  <si>
    <t>Financing fees (1% of debt)</t>
  </si>
  <si>
    <t>Bank fees for arranging the loan</t>
  </si>
  <si>
    <t>Advisory &amp; legal fees</t>
  </si>
  <si>
    <t>Investment banker and legal fees</t>
  </si>
  <si>
    <t>Other transaction costs</t>
  </si>
  <si>
    <t>Regulatory filings, shareholder communications, and bonuses to keep key HubSpot employees</t>
  </si>
  <si>
    <t>Total Uses</t>
  </si>
  <si>
    <t>Balance check (Sources − Uses)</t>
  </si>
  <si>
    <t>PRO FORMA CAPITAL STRUCTURE (Salesforce post-close)</t>
  </si>
  <si>
    <t>CRM existing debt ($M)</t>
  </si>
  <si>
    <t>Salesforce's existing debt before the deal</t>
  </si>
  <si>
    <t>(+) New term loan</t>
  </si>
  <si>
    <t>Pro forma total debt</t>
  </si>
  <si>
    <t>Pro forma cash &amp; equivalents</t>
  </si>
  <si>
    <t>Cash on hand after the deal, roughly $10B before minus $3B used</t>
  </si>
  <si>
    <t>Pro forma net debt</t>
  </si>
  <si>
    <t>Pro forma equity market cap</t>
  </si>
  <si>
    <t>Salesforce's current value plus the new shares given to HubSpot shareholders</t>
  </si>
  <si>
    <t>Pro forma enterprise value</t>
  </si>
  <si>
    <t>Pro forma net debt / EBITDA</t>
  </si>
  <si>
    <t>Combined company operating profit estimate</t>
  </si>
  <si>
    <t>PURCHASE PRICE ALLOCATION &amp; INTANGIBLES AMORTIZATION</t>
  </si>
  <si>
    <t>Accounting rules require us to assign the purchase price across what's being acquired: customer relationships, technology, brand, and leftover goodwill. This affects future earnings.</t>
  </si>
  <si>
    <t>STEP 1: EXCESS PURCHASE PRICE OVER NET BOOK VALUE</t>
  </si>
  <si>
    <t>Equity purchase price ($M)</t>
  </si>
  <si>
    <t>(−) HUBS net cash assumed</t>
  </si>
  <si>
    <t>Effective enterprise consideration</t>
  </si>
  <si>
    <t>Equity − net cash</t>
  </si>
  <si>
    <t>(−) HUBS net tangible book value</t>
  </si>
  <si>
    <t>HUBS shareholders' equity ex-goodwill, FY25 10-K</t>
  </si>
  <si>
    <t>Excess purchase price to allocate</t>
  </si>
  <si>
    <t>STEP 2: ALLOCATION TO IDENTIFIABLE INTANGIBLES &amp; GOODWILL</t>
  </si>
  <si>
    <t>Asset</t>
  </si>
  <si>
    <t>Allocated ($M)</t>
  </si>
  <si>
    <t>Life (yrs)</t>
  </si>
  <si>
    <t>Annual amort ($M)</t>
  </si>
  <si>
    <t>% of excess</t>
  </si>
  <si>
    <t>Customer relationships</t>
  </si>
  <si>
    <t>Developed technology</t>
  </si>
  <si>
    <t>Trade name / brand</t>
  </si>
  <si>
    <t>Indef.</t>
  </si>
  <si>
    <t>Deferred rev write-down (memo only)</t>
  </si>
  <si>
    <t>Y1 revenue haircut, not amortized</t>
  </si>
  <si>
    <t>Other intangibles</t>
  </si>
  <si>
    <t>Total identifiable intangibles</t>
  </si>
  <si>
    <t>Goodwill (residual)</t>
  </si>
  <si>
    <t>Not amortized, annual impairment test</t>
  </si>
  <si>
    <t>STEP 3: INTANGIBLES AMORTIZATION SCHEDULE</t>
  </si>
  <si>
    <t>Y1</t>
  </si>
  <si>
    <t>Y2</t>
  </si>
  <si>
    <t>Y3</t>
  </si>
  <si>
    <t>Y4</t>
  </si>
  <si>
    <t>Y5</t>
  </si>
  <si>
    <t>Y6</t>
  </si>
  <si>
    <t>Y7</t>
  </si>
  <si>
    <t>Y8</t>
  </si>
  <si>
    <t>Deferred rev write-down (not amortized)</t>
  </si>
  <si>
    <t>Total annual amortization</t>
  </si>
  <si>
    <t>• The way we split up the price across asset categories follows standard practice for software acquisitions.</t>
  </si>
  <si>
    <t>• Accounting rules require reducing HubSpot's deferred revenue by $200M, which lowers reported Year 1 revenue.</t>
  </si>
  <si>
    <t>• The yearly expense of writing down these assets shows up in official accounting (GAAP) but is excluded from the non-GAAP numbers companies typically highlight.</t>
  </si>
  <si>
    <t>• Goodwill stays on the books permanently but is checked yearly to see if its value should be reduced.</t>
  </si>
  <si>
    <t>PREMIUMS PAID ANALYSIS</t>
  </si>
  <si>
    <t>Compares the offer price to different recent prices for HubSpot stock, and to premiums paid in similar past deals. Helps judge if the price is fair or leaves room to go higher.</t>
  </si>
  <si>
    <t>OFFER VS. HUBS HISTORICAL TRADING REFERENCES</t>
  </si>
  <si>
    <t>Reference price</t>
  </si>
  <si>
    <t>Price ($)</t>
  </si>
  <si>
    <t>Implied premium</t>
  </si>
  <si>
    <t>1-day prior closing price</t>
  </si>
  <si>
    <t>HubSpot's closing share price the day before the deal is announced</t>
  </si>
  <si>
    <t>5-day VWAP</t>
  </si>
  <si>
    <t>Average HubSpot price over the past 5 trading days</t>
  </si>
  <si>
    <t>30-day VWAP</t>
  </si>
  <si>
    <t>Average HubSpot price over the past 30 trading days, the most commonly cited reference</t>
  </si>
  <si>
    <t>60-day VWAP</t>
  </si>
  <si>
    <t>Average HubSpot price over the past 60 trading days</t>
  </si>
  <si>
    <t>90-day VWAP</t>
  </si>
  <si>
    <t>Average HubSpot price over the past 90 trading days</t>
  </si>
  <si>
    <t>52-week high</t>
  </si>
  <si>
    <t>Highest HubSpot price in the past year</t>
  </si>
  <si>
    <t>52-week low</t>
  </si>
  <si>
    <t>Lowest HubSpot price in the past year</t>
  </si>
  <si>
    <t>All-time high (Nov 2021)</t>
  </si>
  <si>
    <t>All-time peak during the 2021 software bubble</t>
  </si>
  <si>
    <t>Median across short-term references (1-day to 90-day)</t>
  </si>
  <si>
    <t>OFFER VS. SAAS PRECEDENT MEDIAN</t>
  </si>
  <si>
    <t>Proposed offer premium (30-day VWAP)</t>
  </si>
  <si>
    <t>Precedent SaaS M&amp;A median premium</t>
  </si>
  <si>
    <t>Gap to precedent median</t>
  </si>
  <si>
    <t>Implied price at precedent median premium</t>
  </si>
  <si>
    <t>30-day VWAP × (1 + precedent median premium)</t>
  </si>
  <si>
    <t>Bidding-room headroom ($/share)</t>
  </si>
  <si>
    <t>• We compare the offer to multiple recent stock prices to verify the premium is fair from different angles.</t>
  </si>
  <si>
    <t>• Proposed 25% premium is below SaaS precedent median (40%), leaves room to increase offer in a competitive process.</t>
  </si>
  <si>
    <t>CONTRIBUTION ANALYSIS</t>
  </si>
  <si>
    <t>FY2026E CONTRIBUTION TO COMBINED ENTITY</t>
  </si>
  <si>
    <t>Combined</t>
  </si>
  <si>
    <t>HUBS %</t>
  </si>
  <si>
    <t>HUBS consid. %</t>
  </si>
  <si>
    <t>Revenue ($M)</t>
  </si>
  <si>
    <t>EBITDA ($M)</t>
  </si>
  <si>
    <t>Non-GAAP Op Income ($M)</t>
  </si>
  <si>
    <t>Non-GAAP Net Income ($M)</t>
  </si>
  <si>
    <t>Unlevered FCF ($M)</t>
  </si>
  <si>
    <t>Customers (000)</t>
  </si>
  <si>
    <t>Diluted Shares (M)</t>
  </si>
  <si>
    <t>Market Cap ($M)</t>
  </si>
  <si>
    <t>Key takeaway</t>
  </si>
  <si>
    <t>HUBS contributes ~8% of revenue and ~7% of NOPAT but represents only ~6% of consideration, favorable for CRM shareholders.</t>
  </si>
  <si>
    <t>RETURNS ANALYSIS, VALUE CREATION FOR CRM SHAREHOLDERS</t>
  </si>
  <si>
    <t>Calculates the total long-term value Salesforce shareholders get from doing this deal, after subtracting the premium paid. Positive number means the deal creates value.</t>
  </si>
  <si>
    <t>NPV OF SYNERGIES (after-tax, at WACC)</t>
  </si>
  <si>
    <t>Terminal</t>
  </si>
  <si>
    <t>Pre-tax synergies (run-rate)</t>
  </si>
  <si>
    <t>(−) Tax @ 21%</t>
  </si>
  <si>
    <t>After-tax synergies</t>
  </si>
  <si>
    <t>Net synergy cash flow</t>
  </si>
  <si>
    <t>PV of net synergy cash flow</t>
  </si>
  <si>
    <t>VALUE CREATION SUMMARY</t>
  </si>
  <si>
    <t>Sum of PV of explicit-period net synergies</t>
  </si>
  <si>
    <t>PV of terminal synergy value</t>
  </si>
  <si>
    <t>Total NPV of synergies</t>
  </si>
  <si>
    <t>Premium paid above pre-deal market cap</t>
  </si>
  <si>
    <t>Net value creation to CRM shareholders</t>
  </si>
  <si>
    <t>Net value creation per CRM share ($)</t>
  </si>
  <si>
    <t>Value creation as % of premium paid</t>
  </si>
  <si>
    <t>• Future synergy cash flows are translated back to today's dollars using the same discount rate as the DCF.</t>
  </si>
  <si>
    <t>• After Year 3, synergies are assumed to grow at a modest 3 percent per year.</t>
  </si>
  <si>
    <t>• Beyond Year 8, the remaining value assumes 2.5 percent annual growth forever.</t>
  </si>
  <si>
    <t>• Excludes execution risk haircut, see Risk Factors (Section VII of memo).</t>
  </si>
  <si>
    <t>APPENDIX, EXTENDED PEER ANALYTICS &amp; PRECEDENT REGRESSION</t>
  </si>
  <si>
    <t>Extra analysis backing up the main tabs: extended peer data and a statistical regression showing how acquisition multiples relate to target growth rate.</t>
  </si>
  <si>
    <t>A.1 EXTENDED PEER SCREEN</t>
  </si>
  <si>
    <t>NTM Rev ($B)</t>
  </si>
  <si>
    <t>NTM Gr.</t>
  </si>
  <si>
    <t>GM</t>
  </si>
  <si>
    <t>Op Margin</t>
  </si>
  <si>
    <t>FCF Conv.</t>
  </si>
  <si>
    <t>Rule of 40</t>
  </si>
  <si>
    <t>EV/NTM Rev</t>
  </si>
  <si>
    <t>EV/NTM/Growth</t>
  </si>
  <si>
    <t>Zendesk (PE)</t>
  </si>
  <si>
    <t>Asana (ASAN)</t>
  </si>
  <si>
    <t>Smartsheet (SMAR)</t>
  </si>
  <si>
    <t>Peer median</t>
  </si>
  <si>
    <t>HubSpot (HUBS)</t>
  </si>
  <si>
    <t>GROWTH-ADJUSTED MULTIPLE ANALYSIS</t>
  </si>
  <si>
    <t>HUBS EV/NTM/Growth</t>
  </si>
  <si>
    <t>Peer median EV/NTM/Growth</t>
  </si>
  <si>
    <t>Discount (growth-adjusted)</t>
  </si>
  <si>
    <t>(Even adjusted for slower growth, HUBS trades at discount)</t>
  </si>
  <si>
    <t>A.2 PRECEDENT TRANSACTION REGRESSION, EV/NTM Rev vs. Target Growth Rate</t>
  </si>
  <si>
    <t>Target NTM Growth</t>
  </si>
  <si>
    <t>Implied at HUBS growth</t>
  </si>
  <si>
    <t>Slack</t>
  </si>
  <si>
    <t>Tableau</t>
  </si>
  <si>
    <t>Regression slope (EV/NTM per 1% growth)</t>
  </si>
  <si>
    <t>Regression intercept</t>
  </si>
  <si>
    <t>R-squared</t>
  </si>
  <si>
    <t>Regression-implied multiple for HUBS at 18% growth</t>
  </si>
  <si>
    <t>Regression-implied EV at HUBS growth</t>
  </si>
  <si>
    <t>Regression-implied $/share</t>
  </si>
  <si>
    <t>• Statistical analysis showing the relationship between how fast a company grows and what multiple acquirers pay.</t>
  </si>
  <si>
    <t>• Controls for growth, HUBS at 18% growth would historically trade at ~5 to 7x in M&amp;A context.</t>
  </si>
  <si>
    <t>• 7.0x × $3.71B + $1.9B net cash / 52.33M shares ≈ $533/share (consistent with precedent regression).</t>
  </si>
  <si>
    <t>Every input researched is found here.</t>
  </si>
  <si>
    <t>Explanation of each tab</t>
  </si>
  <si>
    <t>Salesforce buying HubSpot, valuation and deal analysis SIMULATION</t>
  </si>
  <si>
    <t>As if it would happen on May 2026</t>
  </si>
  <si>
    <t>What's in this workbook?</t>
  </si>
  <si>
    <t>Chart of all valuation methods compared to the offer price.</t>
  </si>
  <si>
    <t>Shows what percent each side contributes to the combined company on different measures (revenue, profit,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</si>
</sst>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64" formatCode="\$#,##0.00"/>
    <numFmt numFmtId="165" formatCode="0.0%"/>
    <numFmt numFmtId="166" formatCode="#,##0.0"/>
    <numFmt numFmtId="167" formatCode="0.0\x"/>
    <numFmt numFmtId="168" formatCode="_(\$* #,##0.00_);_(\$* \(#,##0.00\);_(\$* \-_);_(@_)"/>
    <numFmt numFmtId="169" formatCode="_(* #,##0_);_(* \(#,##0\);_(* \-_);_(@_)"/>
    <numFmt numFmtId="170" formatCode="_(\$* #,##0_);_(\$* \(#,##0\);_(\$* \-_);_(@_)"/>
    <numFmt numFmtId="171" formatCode="0.0%;\(0.0%\);\-"/>
    <numFmt numFmtId="172" formatCode="0.0\x;\(0.0&quot;x)&quot;;\-"/>
    <numFmt numFmtId="173" formatCode="0.0000"/>
    <numFmt numFmtId="174" formatCode="_(* #,##0.0_);_(* \(#,##0.0\);_(* \-_);_(@_)"/>
    <numFmt numFmtId="175" formatCode="0&quot; bps&quot;"/>
    <numFmt numFmtId="176" formatCode="0.00\x;\(0.00&quot;x)&quot;;\-"/>
  </numFmts>
  <fonts count="21" x14ac:knownFonts="1">
    <font>
      <sz val="11"/>
      <color theme="1"/>
      <name val="Calibri"/>
      <family val="2"/>
      <charset val="1"/>
    </font>
    <font>
      <b/>
      <sz val="18"/>
      <color rgb="FF000000"/>
      <name val="Arial"/>
      <family val="2"/>
    </font>
    <font>
      <b/>
      <sz val="10"/>
      <color rgb="FF000000"/>
      <name val="Arial"/>
      <family val="2"/>
    </font>
    <font>
      <sz val="10"/>
      <color rgb="FF000000"/>
      <name val="Arial"/>
      <family val="2"/>
    </font>
    <font>
      <sz val="10"/>
      <color rgb="FF0000FF"/>
      <name val="Arial"/>
      <family val="2"/>
    </font>
    <font>
      <sz val="9"/>
      <color rgb="FF595959"/>
      <name val="Arial"/>
      <family val="2"/>
    </font>
    <font>
      <sz val="10"/>
      <color rgb="FF008000"/>
      <name val="Arial"/>
      <family val="2"/>
    </font>
    <font>
      <b/>
      <sz val="10"/>
      <color rgb="FF0000FF"/>
      <name val="Arial"/>
      <family val="2"/>
    </font>
    <font>
      <b/>
      <sz val="18"/>
      <name val="Arial"/>
      <family val="2"/>
    </font>
    <font>
      <b/>
      <sz val="10"/>
      <name val="Arial"/>
      <family val="2"/>
    </font>
    <font>
      <sz val="10"/>
      <name val="Arial"/>
      <family val="2"/>
    </font>
    <font>
      <sz val="9"/>
      <name val="Arial"/>
      <family val="2"/>
    </font>
    <font>
      <b/>
      <sz val="14"/>
      <name val="Arial"/>
      <family val="2"/>
    </font>
    <font>
      <sz val="11"/>
      <name val="Arial"/>
      <family val="2"/>
    </font>
    <font>
      <sz val="11"/>
      <color theme="1"/>
      <name val="Arial"/>
      <family val="2"/>
    </font>
    <font>
      <b/>
      <sz val="11"/>
      <name val="Arial"/>
      <family val="2"/>
    </font>
    <font>
      <b/>
      <sz val="11"/>
      <color rgb="FF000000"/>
      <name val="Arial"/>
      <family val="2"/>
    </font>
    <font>
      <sz val="10"/>
      <color rgb="FF404040"/>
      <name val="Arial"/>
      <family val="2"/>
    </font>
    <font>
      <sz val="10"/>
      <color theme="1"/>
      <name val="Arial"/>
      <family val="2"/>
    </font>
    <font>
      <b/>
      <sz val="14"/>
      <color rgb="FF000000"/>
      <name val="Arial"/>
      <family val="2"/>
    </font>
    <font>
      <sz val="10"/>
      <color rgb="FF595959"/>
      <name val="Arial"/>
      <family val="2"/>
    </font>
  </fonts>
  <fills count="5">
    <fill>
      <patternFill patternType="none"/>
    </fill>
    <fill>
      <patternFill patternType="gray125"/>
    </fill>
    <fill>
      <patternFill patternType="solid">
        <fgColor rgb="FFE7E6E6"/>
        <bgColor rgb="FFF2F2F2"/>
      </patternFill>
    </fill>
    <fill>
      <patternFill patternType="solid">
        <fgColor rgb="FFFFFCE5"/>
        <bgColor rgb="FFF2F2F2"/>
      </patternFill>
    </fill>
    <fill>
      <patternFill patternType="solid">
        <fgColor rgb="FFF2F2F2"/>
        <bgColor rgb="FFFFFCE5"/>
      </patternFill>
    </fill>
  </fills>
  <borders count="1">
    <border>
      <left/>
      <right/>
      <top/>
      <bottom/>
      <diagonal/>
    </border>
  </borders>
  <cellStyleXfs count="1">
    <xf numFmtId="0" fontId="0" fillId="0" borderId="0"/>
  </cellStyleXfs>
  <cellXfs count="122">
    <xf numFmtId="0" fontId="0" fillId="0" borderId="0" xfId="0"/>
    <xf numFmtId="0" fontId="1" fillId="0" borderId="0" xfId="0" applyFont="1"/>
    <xf numFmtId="0" fontId="2" fillId="2" borderId="0" xfId="0" applyFont="1" applyFill="1"/>
    <xf numFmtId="0" fontId="2" fillId="0" borderId="0" xfId="0" applyFont="1" applyAlignment="1">
      <alignment horizontal="center" vertical="center" wrapText="1"/>
    </xf>
    <xf numFmtId="0" fontId="3" fillId="0" borderId="0" xfId="0" applyFont="1"/>
    <xf numFmtId="168" fontId="4" fillId="0" borderId="0" xfId="0" applyNumberFormat="1" applyFont="1" applyAlignment="1">
      <alignment horizontal="right" vertical="center"/>
    </xf>
    <xf numFmtId="168" fontId="3" fillId="0" borderId="0" xfId="0" applyNumberFormat="1" applyFont="1" applyAlignment="1">
      <alignment horizontal="right" vertical="center"/>
    </xf>
    <xf numFmtId="0" fontId="5" fillId="0" borderId="0" xfId="0" applyFont="1"/>
    <xf numFmtId="168" fontId="6" fillId="0" borderId="0" xfId="0" applyNumberFormat="1" applyFont="1" applyAlignment="1">
      <alignment horizontal="right" vertical="center"/>
    </xf>
    <xf numFmtId="0" fontId="2" fillId="2" borderId="0" xfId="0" applyFont="1" applyFill="1"/>
    <xf numFmtId="168" fontId="7" fillId="0" borderId="0" xfId="0" applyNumberFormat="1" applyFont="1" applyAlignment="1">
      <alignment horizontal="right" vertical="center"/>
    </xf>
    <xf numFmtId="171" fontId="7" fillId="0" borderId="0" xfId="0" applyNumberFormat="1" applyFont="1" applyAlignment="1">
      <alignment horizontal="right" vertical="center"/>
    </xf>
    <xf numFmtId="170" fontId="7" fillId="0" borderId="0" xfId="0" applyNumberFormat="1" applyFont="1" applyAlignment="1">
      <alignment horizontal="right" vertical="center"/>
    </xf>
    <xf numFmtId="0" fontId="2" fillId="0" borderId="0" xfId="0" applyFont="1"/>
    <xf numFmtId="0" fontId="8" fillId="0" borderId="0" xfId="0" applyFont="1"/>
    <xf numFmtId="0" fontId="9" fillId="0" borderId="0" xfId="0" applyFont="1" applyAlignment="1">
      <alignment horizontal="center" vertical="center" wrapText="1"/>
    </xf>
    <xf numFmtId="0" fontId="9" fillId="0" borderId="0" xfId="0" applyFont="1" applyAlignment="1">
      <alignment horizontal="left" vertical="center" wrapText="1"/>
    </xf>
    <xf numFmtId="0" fontId="9" fillId="0" borderId="0" xfId="0" applyFont="1"/>
    <xf numFmtId="0" fontId="10" fillId="0" borderId="0" xfId="0" applyFont="1"/>
    <xf numFmtId="168" fontId="4" fillId="3" borderId="0" xfId="0" applyNumberFormat="1" applyFont="1" applyFill="1" applyAlignment="1">
      <alignment horizontal="right" vertical="center"/>
    </xf>
    <xf numFmtId="169" fontId="4" fillId="0" borderId="0" xfId="0" applyNumberFormat="1" applyFont="1" applyAlignment="1">
      <alignment horizontal="right" vertical="center"/>
    </xf>
    <xf numFmtId="170" fontId="3" fillId="0" borderId="0" xfId="0" applyNumberFormat="1" applyFont="1" applyAlignment="1">
      <alignment horizontal="right" vertical="center"/>
    </xf>
    <xf numFmtId="171" fontId="3" fillId="0" borderId="0" xfId="0" applyNumberFormat="1" applyFont="1" applyAlignment="1">
      <alignment horizontal="right" vertical="center"/>
    </xf>
    <xf numFmtId="170" fontId="4" fillId="0" borderId="0" xfId="0" applyNumberFormat="1" applyFont="1" applyAlignment="1">
      <alignment horizontal="right" vertical="center"/>
    </xf>
    <xf numFmtId="172" fontId="3" fillId="0" borderId="0" xfId="0" applyNumberFormat="1" applyFont="1" applyAlignment="1">
      <alignment horizontal="right" vertical="center"/>
    </xf>
    <xf numFmtId="171" fontId="4" fillId="0" borderId="0" xfId="0" applyNumberFormat="1" applyFont="1" applyAlignment="1">
      <alignment horizontal="right" vertical="center"/>
    </xf>
    <xf numFmtId="169" fontId="3" fillId="0" borderId="0" xfId="0" applyNumberFormat="1" applyFont="1" applyAlignment="1">
      <alignment horizontal="right" vertical="center"/>
    </xf>
    <xf numFmtId="2" fontId="4" fillId="0" borderId="0" xfId="0" applyNumberFormat="1" applyFont="1" applyAlignment="1">
      <alignment horizontal="right" vertical="center"/>
    </xf>
    <xf numFmtId="171" fontId="4" fillId="3" borderId="0" xfId="0" applyNumberFormat="1" applyFont="1" applyFill="1" applyAlignment="1">
      <alignment horizontal="right" vertical="center"/>
    </xf>
    <xf numFmtId="171" fontId="3" fillId="3" borderId="0" xfId="0" applyNumberFormat="1" applyFont="1" applyFill="1" applyAlignment="1">
      <alignment horizontal="right" vertical="center"/>
    </xf>
    <xf numFmtId="0" fontId="11" fillId="0" borderId="0" xfId="0" applyFont="1" applyAlignment="1">
      <alignment horizontal="left" vertical="center" wrapText="1"/>
    </xf>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0" fillId="0" borderId="0" xfId="0" applyFont="1" applyAlignment="1">
      <alignment vertical="top" wrapText="1"/>
    </xf>
    <xf numFmtId="3" fontId="3" fillId="0" borderId="0" xfId="0" applyNumberFormat="1" applyFont="1" applyAlignment="1">
      <alignment horizontal="right"/>
    </xf>
    <xf numFmtId="0" fontId="16" fillId="0" borderId="0" xfId="0" applyFont="1"/>
    <xf numFmtId="164" fontId="6" fillId="0" borderId="0" xfId="0" applyNumberFormat="1" applyFont="1" applyAlignment="1">
      <alignment horizontal="left" vertical="center"/>
    </xf>
    <xf numFmtId="165" fontId="6" fillId="0" borderId="0" xfId="0" applyNumberFormat="1" applyFont="1" applyAlignment="1">
      <alignment horizontal="left" vertical="center"/>
    </xf>
    <xf numFmtId="166" fontId="6" fillId="0" borderId="0" xfId="0" applyNumberFormat="1" applyFont="1" applyAlignment="1">
      <alignment horizontal="left" vertical="center"/>
    </xf>
    <xf numFmtId="3" fontId="6" fillId="0" borderId="0" xfId="0" applyNumberFormat="1" applyFont="1" applyAlignment="1">
      <alignment horizontal="left" vertical="center"/>
    </xf>
    <xf numFmtId="167" fontId="6" fillId="0" borderId="0" xfId="0" applyNumberFormat="1" applyFont="1" applyAlignment="1">
      <alignment horizontal="left" vertical="center"/>
    </xf>
    <xf numFmtId="0" fontId="17" fillId="0" borderId="0" xfId="0" applyFont="1" applyAlignment="1">
      <alignment horizontal="left" vertical="center" wrapText="1"/>
    </xf>
    <xf numFmtId="0" fontId="17" fillId="0" borderId="0" xfId="0" applyFont="1"/>
    <xf numFmtId="0" fontId="10" fillId="0" borderId="0" xfId="0" applyFont="1" applyAlignment="1">
      <alignment vertical="top" wrapText="1"/>
    </xf>
    <xf numFmtId="171" fontId="4" fillId="3" borderId="0" xfId="0" applyNumberFormat="1" applyFont="1" applyFill="1" applyAlignment="1">
      <alignment horizontal="right"/>
    </xf>
    <xf numFmtId="171" fontId="4" fillId="0" borderId="0" xfId="0" applyNumberFormat="1" applyFont="1" applyAlignment="1">
      <alignment horizontal="right"/>
    </xf>
    <xf numFmtId="171" fontId="3" fillId="0" borderId="0" xfId="0" applyNumberFormat="1" applyFont="1" applyAlignment="1">
      <alignment horizontal="right"/>
    </xf>
    <xf numFmtId="49" fontId="2" fillId="0" borderId="0" xfId="0" applyNumberFormat="1" applyFont="1" applyAlignment="1">
      <alignment horizontal="center" vertical="center" wrapText="1"/>
    </xf>
    <xf numFmtId="3" fontId="4" fillId="0" borderId="0" xfId="0" applyNumberFormat="1" applyFont="1" applyAlignment="1">
      <alignment horizontal="right" vertical="center"/>
    </xf>
    <xf numFmtId="0" fontId="4" fillId="0" borderId="0" xfId="0" applyFont="1" applyAlignment="1">
      <alignment horizontal="right" vertical="center"/>
    </xf>
    <xf numFmtId="0" fontId="2" fillId="4" borderId="0" xfId="0" applyFont="1" applyFill="1"/>
    <xf numFmtId="0" fontId="14" fillId="4" borderId="0" xfId="0" applyFont="1" applyFill="1" applyAlignment="1">
      <alignment horizontal="center" vertical="center" wrapText="1"/>
    </xf>
    <xf numFmtId="170" fontId="2" fillId="4" borderId="0" xfId="0" applyNumberFormat="1" applyFont="1" applyFill="1" applyAlignment="1">
      <alignment horizontal="right" vertical="center"/>
    </xf>
    <xf numFmtId="171" fontId="2" fillId="4" borderId="0" xfId="0" applyNumberFormat="1" applyFont="1" applyFill="1" applyAlignment="1">
      <alignment horizontal="right" vertical="center"/>
    </xf>
    <xf numFmtId="172" fontId="2" fillId="4" borderId="0" xfId="0" applyNumberFormat="1" applyFont="1" applyFill="1" applyAlignment="1">
      <alignment horizontal="right" vertical="center"/>
    </xf>
    <xf numFmtId="172" fontId="4" fillId="0" borderId="0" xfId="0" applyNumberFormat="1" applyFont="1" applyAlignment="1">
      <alignment horizontal="right" vertical="center"/>
    </xf>
    <xf numFmtId="1" fontId="4" fillId="0" borderId="0" xfId="0" applyNumberFormat="1" applyFont="1" applyAlignment="1">
      <alignment horizontal="center" vertical="center" wrapText="1"/>
    </xf>
    <xf numFmtId="0" fontId="4" fillId="0" borderId="0" xfId="0" applyFont="1" applyAlignment="1">
      <alignment horizontal="center" vertical="center" wrapText="1"/>
    </xf>
    <xf numFmtId="170" fontId="6" fillId="0" borderId="0" xfId="0" applyNumberFormat="1" applyFont="1" applyAlignment="1">
      <alignment horizontal="right" vertical="center"/>
    </xf>
    <xf numFmtId="171" fontId="6" fillId="0" borderId="0" xfId="0" applyNumberFormat="1" applyFont="1" applyAlignment="1">
      <alignment horizontal="right" vertical="center"/>
    </xf>
    <xf numFmtId="0" fontId="2" fillId="2" borderId="0" xfId="0" applyFont="1" applyFill="1" applyAlignment="1">
      <alignment horizontal="center" vertical="center"/>
    </xf>
    <xf numFmtId="170" fontId="6" fillId="0" borderId="0" xfId="0" applyNumberFormat="1" applyFont="1" applyAlignment="1">
      <alignment horizontal="right"/>
    </xf>
    <xf numFmtId="171" fontId="6" fillId="0" borderId="0" xfId="0" applyNumberFormat="1" applyFont="1" applyAlignment="1">
      <alignment horizontal="right"/>
    </xf>
    <xf numFmtId="170" fontId="3" fillId="0" borderId="0" xfId="0" applyNumberFormat="1" applyFont="1" applyAlignment="1">
      <alignment horizontal="right"/>
    </xf>
    <xf numFmtId="170" fontId="3" fillId="4" borderId="0" xfId="0" applyNumberFormat="1" applyFont="1" applyFill="1" applyAlignment="1">
      <alignment horizontal="right"/>
    </xf>
    <xf numFmtId="0" fontId="4" fillId="0" borderId="0" xfId="0" applyFont="1" applyAlignment="1">
      <alignment horizontal="center" vertical="center"/>
    </xf>
    <xf numFmtId="173" fontId="3" fillId="0" borderId="0" xfId="0" applyNumberFormat="1" applyFont="1" applyAlignment="1">
      <alignment horizontal="right"/>
    </xf>
    <xf numFmtId="0" fontId="3" fillId="0" borderId="0" xfId="0" applyFont="1" applyAlignment="1">
      <alignment horizontal="right" vertical="center"/>
    </xf>
    <xf numFmtId="169" fontId="6" fillId="0" borderId="0" xfId="0" applyNumberFormat="1" applyFont="1" applyAlignment="1">
      <alignment horizontal="right"/>
    </xf>
    <xf numFmtId="168" fontId="3" fillId="4" borderId="0" xfId="0" applyNumberFormat="1" applyFont="1" applyFill="1" applyAlignment="1">
      <alignment horizontal="right"/>
    </xf>
    <xf numFmtId="168" fontId="6" fillId="0" borderId="0" xfId="0" applyNumberFormat="1" applyFont="1" applyAlignment="1">
      <alignment horizontal="right"/>
    </xf>
    <xf numFmtId="171" fontId="3" fillId="4" borderId="0" xfId="0" applyNumberFormat="1" applyFont="1" applyFill="1" applyAlignment="1">
      <alignment horizontal="right"/>
    </xf>
    <xf numFmtId="171" fontId="4" fillId="0" borderId="0" xfId="0" applyNumberFormat="1" applyFont="1" applyAlignment="1">
      <alignment horizontal="center" vertical="center" wrapText="1"/>
    </xf>
    <xf numFmtId="168" fontId="3" fillId="0" borderId="0" xfId="0" applyNumberFormat="1" applyFont="1" applyAlignment="1">
      <alignment horizontal="right"/>
    </xf>
    <xf numFmtId="170" fontId="2" fillId="0" borderId="0" xfId="0" applyNumberFormat="1" applyFont="1" applyAlignment="1">
      <alignment horizontal="right" vertical="center"/>
    </xf>
    <xf numFmtId="0" fontId="9" fillId="2" borderId="0" xfId="0" applyFont="1" applyFill="1"/>
    <xf numFmtId="0" fontId="18" fillId="0" borderId="0" xfId="0" applyFont="1"/>
    <xf numFmtId="0" fontId="19" fillId="0" borderId="0" xfId="0" applyFont="1"/>
    <xf numFmtId="174" fontId="6" fillId="0" borderId="0" xfId="0" applyNumberFormat="1" applyFont="1" applyAlignment="1">
      <alignment horizontal="right"/>
    </xf>
    <xf numFmtId="170" fontId="3" fillId="0" borderId="0" xfId="0" applyNumberFormat="1" applyFont="1"/>
    <xf numFmtId="170" fontId="2" fillId="4" borderId="0" xfId="0" applyNumberFormat="1" applyFont="1" applyFill="1" applyAlignment="1">
      <alignment horizontal="right"/>
    </xf>
    <xf numFmtId="0" fontId="3" fillId="0" borderId="0" xfId="0" applyFont="1" applyAlignment="1">
      <alignment horizontal="center" vertical="center" wrapText="1"/>
    </xf>
    <xf numFmtId="170" fontId="4" fillId="0" borderId="0" xfId="0" applyNumberFormat="1" applyFont="1" applyAlignment="1">
      <alignment horizontal="right"/>
    </xf>
    <xf numFmtId="0" fontId="3" fillId="0" borderId="0" xfId="0" applyFont="1" applyAlignment="1">
      <alignment horizontal="left" vertical="center" wrapText="1"/>
    </xf>
    <xf numFmtId="174" fontId="3" fillId="0" borderId="0" xfId="0" applyNumberFormat="1" applyFont="1" applyAlignment="1">
      <alignment horizontal="right"/>
    </xf>
    <xf numFmtId="171" fontId="2" fillId="3" borderId="0" xfId="0" applyNumberFormat="1" applyFont="1" applyFill="1" applyAlignment="1">
      <alignment horizontal="right"/>
    </xf>
    <xf numFmtId="171" fontId="3" fillId="0" borderId="0" xfId="0" applyNumberFormat="1" applyFont="1" applyAlignment="1">
      <alignment horizontal="right"/>
    </xf>
    <xf numFmtId="175" fontId="2" fillId="3" borderId="0" xfId="0" applyNumberFormat="1" applyFont="1" applyFill="1" applyAlignment="1">
      <alignment horizontal="right"/>
    </xf>
    <xf numFmtId="0" fontId="17" fillId="0" borderId="0" xfId="0" applyFont="1" applyAlignment="1">
      <alignment vertical="top" wrapText="1"/>
    </xf>
    <xf numFmtId="2" fontId="4" fillId="0" borderId="0" xfId="0" applyNumberFormat="1" applyFont="1" applyAlignment="1">
      <alignment horizontal="right"/>
    </xf>
    <xf numFmtId="2" fontId="3" fillId="0" borderId="0" xfId="0" applyNumberFormat="1" applyFont="1" applyAlignment="1">
      <alignment horizontal="right"/>
    </xf>
    <xf numFmtId="2" fontId="2" fillId="4" borderId="0" xfId="0" applyNumberFormat="1" applyFont="1" applyFill="1" applyAlignment="1">
      <alignment horizontal="right"/>
    </xf>
    <xf numFmtId="171" fontId="2" fillId="4" borderId="0" xfId="0" applyNumberFormat="1" applyFont="1" applyFill="1" applyAlignment="1">
      <alignment horizontal="right"/>
    </xf>
    <xf numFmtId="2" fontId="6" fillId="0" borderId="0" xfId="0" applyNumberFormat="1" applyFont="1" applyAlignment="1">
      <alignment horizontal="right"/>
    </xf>
    <xf numFmtId="2" fontId="3" fillId="3" borderId="0" xfId="0" applyNumberFormat="1" applyFont="1" applyFill="1" applyAlignment="1">
      <alignment horizontal="right"/>
    </xf>
    <xf numFmtId="0" fontId="17" fillId="0" borderId="0" xfId="0" applyFont="1" applyAlignment="1">
      <alignment vertical="top" wrapText="1"/>
    </xf>
    <xf numFmtId="170" fontId="2" fillId="3" borderId="0" xfId="0" applyNumberFormat="1" applyFont="1" applyFill="1" applyAlignment="1">
      <alignment horizontal="right"/>
    </xf>
    <xf numFmtId="176" fontId="3" fillId="0" borderId="0" xfId="0" applyNumberFormat="1" applyFont="1" applyAlignment="1">
      <alignment horizontal="right"/>
    </xf>
    <xf numFmtId="0" fontId="18" fillId="0" borderId="0" xfId="0" applyFont="1" applyAlignment="1">
      <alignment horizontal="center" vertical="center"/>
    </xf>
    <xf numFmtId="170" fontId="10" fillId="0" borderId="0" xfId="0" applyNumberFormat="1" applyFont="1" applyAlignment="1">
      <alignment horizontal="left"/>
    </xf>
    <xf numFmtId="170" fontId="9" fillId="4" borderId="0" xfId="0" applyNumberFormat="1" applyFont="1" applyFill="1" applyAlignment="1">
      <alignment horizontal="right"/>
    </xf>
    <xf numFmtId="170" fontId="10" fillId="0" borderId="0" xfId="0" applyNumberFormat="1" applyFont="1" applyAlignment="1">
      <alignment horizontal="right"/>
    </xf>
    <xf numFmtId="168" fontId="4" fillId="0" borderId="0" xfId="0" applyNumberFormat="1" applyFont="1" applyAlignment="1">
      <alignment horizontal="right"/>
    </xf>
    <xf numFmtId="3" fontId="4" fillId="0" borderId="0" xfId="0" applyNumberFormat="1" applyFont="1" applyAlignment="1">
      <alignment horizontal="right"/>
    </xf>
    <xf numFmtId="3" fontId="6" fillId="0" borderId="0" xfId="0" applyNumberFormat="1" applyFont="1" applyAlignment="1">
      <alignment horizontal="right"/>
    </xf>
    <xf numFmtId="166" fontId="4" fillId="0" borderId="0" xfId="0" applyNumberFormat="1" applyFont="1" applyAlignment="1">
      <alignment horizontal="right"/>
    </xf>
    <xf numFmtId="166" fontId="6" fillId="0" borderId="0" xfId="0" applyNumberFormat="1" applyFont="1" applyAlignment="1">
      <alignment horizontal="right"/>
    </xf>
    <xf numFmtId="166" fontId="3" fillId="0" borderId="0" xfId="0" applyNumberFormat="1" applyFont="1" applyAlignment="1">
      <alignment horizontal="right"/>
    </xf>
    <xf numFmtId="171" fontId="3" fillId="3" borderId="0" xfId="0" applyNumberFormat="1" applyFont="1" applyFill="1" applyAlignment="1">
      <alignment horizontal="right"/>
    </xf>
    <xf numFmtId="0" fontId="14" fillId="0" borderId="0" xfId="0" applyFont="1" applyAlignment="1">
      <alignment horizontal="center" vertical="center"/>
    </xf>
    <xf numFmtId="170" fontId="3" fillId="3" borderId="0" xfId="0" applyNumberFormat="1" applyFont="1" applyFill="1" applyAlignment="1">
      <alignment horizontal="right"/>
    </xf>
    <xf numFmtId="176" fontId="4" fillId="0" borderId="0" xfId="0" applyNumberFormat="1" applyFont="1" applyAlignment="1">
      <alignment horizontal="right"/>
    </xf>
    <xf numFmtId="168" fontId="2" fillId="4" borderId="0" xfId="0" applyNumberFormat="1" applyFont="1" applyFill="1" applyAlignment="1">
      <alignment horizontal="right"/>
    </xf>
    <xf numFmtId="176" fontId="2" fillId="4" borderId="0" xfId="0" applyNumberFormat="1" applyFont="1" applyFill="1" applyAlignment="1">
      <alignment horizontal="right"/>
    </xf>
    <xf numFmtId="176" fontId="2" fillId="3" borderId="0" xfId="0" applyNumberFormat="1" applyFont="1" applyFill="1" applyAlignment="1">
      <alignment horizontal="right"/>
    </xf>
    <xf numFmtId="168" fontId="2" fillId="3" borderId="0" xfId="0" applyNumberFormat="1" applyFont="1" applyFill="1" applyAlignment="1">
      <alignment horizontal="right"/>
    </xf>
    <xf numFmtId="0" fontId="20" fillId="0" borderId="0" xfId="0" applyFont="1"/>
    <xf numFmtId="0" fontId="10" fillId="0" borderId="0" xfId="0" applyFont="1"/>
    <xf numFmtId="0" fontId="9" fillId="4" borderId="0" xfId="0" applyFont="1" applyFill="1"/>
  </cellXfs>
  <cellStyles count="1">
    <cellStyle name="Normal" xfId="0" builtinId="0"/>
  </cellStyles>
  <dxfs count="0"/>
  <tableStyles count="1" defaultTableStyle="TableStyleMedium2" defaultPivotStyle="PivotStyleLight16">
    <tableStyle name="Invisible" pivot="0" table="0" count="0" xr9:uid="{9CB78003-4FD4-46B9-8D48-2D6CD0A926D3}"/>
  </table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CE5"/>
      <rgbColor rgb="FFE7E6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BFC5B28-A1FD-499A-A1C8-F45FED01904B}">
  <we:reference id="WA200009404" version="1.0.0.8" store="Omex" storeType="OMEX"/>
  <we:alternateReferences>
    <we:reference id="WA200009404" version="1.0.0.8" store="WA200009404" storeType="OMEX"/>
  </we:alternateReferences>
  <we:properties>
    <we:property name="claude.fileId" value="&quot;ce886fd4-898d-4b3e-9a31-41667afdb2d3&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40"/>
  <sheetViews>
    <sheetView tabSelected="1" zoomScaleNormal="100" workbookViewId="0">
      <selection activeCell="B19" sqref="B19"/>
    </sheetView>
  </sheetViews>
  <sheetFormatPr defaultColWidth="8.6640625" defaultRowHeight="13.8" x14ac:dyDescent="0.25"/>
  <cols>
    <col min="1" max="1" width="2" style="34" customWidth="1"/>
    <col min="2" max="2" width="32" style="34" customWidth="1"/>
    <col min="3" max="3" width="67.109375" style="34" bestFit="1" customWidth="1"/>
    <col min="4" max="7" width="18" style="34" customWidth="1"/>
    <col min="8" max="16384" width="8.6640625" style="34"/>
  </cols>
  <sheetData>
    <row r="2" spans="1:8" ht="21.75" customHeight="1" x14ac:dyDescent="0.3">
      <c r="A2" s="4"/>
      <c r="B2" s="32" t="s">
        <v>0</v>
      </c>
      <c r="C2" s="18"/>
      <c r="D2" s="18"/>
      <c r="E2" s="18"/>
      <c r="F2" s="18"/>
      <c r="G2" s="18"/>
      <c r="H2" s="33"/>
    </row>
    <row r="3" spans="1:8" ht="15" customHeight="1" x14ac:dyDescent="0.25">
      <c r="A3" s="4"/>
      <c r="B3" s="18" t="s">
        <v>575</v>
      </c>
      <c r="C3" s="18"/>
      <c r="D3" s="18"/>
      <c r="E3" s="18"/>
      <c r="F3" s="18"/>
      <c r="G3" s="18"/>
      <c r="H3" s="33"/>
    </row>
    <row r="4" spans="1:8" ht="15" customHeight="1" x14ac:dyDescent="0.25">
      <c r="A4" s="4"/>
      <c r="B4" s="18" t="s">
        <v>576</v>
      </c>
      <c r="C4" s="18"/>
      <c r="D4" s="18"/>
      <c r="E4" s="18"/>
      <c r="F4" s="18"/>
      <c r="G4" s="18"/>
      <c r="H4" s="33"/>
    </row>
    <row r="5" spans="1:8" ht="15" customHeight="1" x14ac:dyDescent="0.25">
      <c r="A5" s="4"/>
      <c r="B5" s="18"/>
      <c r="C5" s="18"/>
      <c r="D5" s="18"/>
      <c r="E5" s="18"/>
      <c r="F5" s="18"/>
      <c r="G5" s="18"/>
      <c r="H5" s="33"/>
    </row>
    <row r="6" spans="1:8" ht="15" customHeight="1" x14ac:dyDescent="0.25">
      <c r="A6" s="4"/>
      <c r="B6" s="35" t="s">
        <v>577</v>
      </c>
      <c r="C6" s="18"/>
      <c r="D6" s="18"/>
      <c r="E6" s="18"/>
      <c r="F6" s="18"/>
      <c r="G6" s="18"/>
      <c r="H6" s="33"/>
    </row>
    <row r="7" spans="1:8" ht="18" customHeight="1" x14ac:dyDescent="0.25">
      <c r="A7" s="4"/>
      <c r="B7" s="36" t="s">
        <v>1</v>
      </c>
      <c r="C7" s="36"/>
      <c r="D7" s="36"/>
      <c r="E7" s="36"/>
      <c r="F7" s="36"/>
      <c r="G7" s="36"/>
      <c r="H7" s="36"/>
    </row>
    <row r="8" spans="1:8" ht="18" customHeight="1" x14ac:dyDescent="0.25">
      <c r="A8" s="4"/>
      <c r="B8" s="36"/>
      <c r="C8" s="36"/>
      <c r="D8" s="36"/>
      <c r="E8" s="36"/>
      <c r="F8" s="36"/>
      <c r="G8" s="36"/>
      <c r="H8" s="36"/>
    </row>
    <row r="9" spans="1:8" ht="18" customHeight="1" x14ac:dyDescent="0.25">
      <c r="A9" s="4"/>
      <c r="B9" s="36"/>
      <c r="C9" s="36"/>
      <c r="D9" s="36"/>
      <c r="E9" s="36"/>
      <c r="F9" s="36"/>
      <c r="G9" s="36"/>
      <c r="H9" s="36"/>
    </row>
    <row r="10" spans="1:8" ht="15" customHeight="1" x14ac:dyDescent="0.25">
      <c r="A10" s="4"/>
      <c r="B10" s="36"/>
      <c r="C10" s="36"/>
      <c r="D10" s="36"/>
      <c r="E10" s="36"/>
      <c r="F10" s="36"/>
      <c r="G10" s="36"/>
      <c r="H10" s="36"/>
    </row>
    <row r="11" spans="1:8" ht="15" customHeight="1" x14ac:dyDescent="0.25">
      <c r="A11" s="4"/>
      <c r="B11" s="4"/>
      <c r="C11" s="4"/>
      <c r="D11" s="37"/>
      <c r="E11" s="4"/>
      <c r="F11" s="4"/>
      <c r="G11" s="4"/>
    </row>
    <row r="12" spans="1:8" ht="15" customHeight="1" x14ac:dyDescent="0.25">
      <c r="A12" s="4"/>
      <c r="B12" s="38" t="s">
        <v>2</v>
      </c>
      <c r="C12" s="4"/>
      <c r="D12" s="37"/>
      <c r="E12" s="4"/>
      <c r="F12" s="4"/>
      <c r="G12" s="4"/>
    </row>
    <row r="13" spans="1:8" ht="15" customHeight="1" x14ac:dyDescent="0.25">
      <c r="A13" s="4"/>
      <c r="B13" s="4" t="s">
        <v>3</v>
      </c>
      <c r="C13" s="39">
        <f>Assumptions!C8</f>
        <v>300</v>
      </c>
      <c r="E13" s="4"/>
      <c r="F13" s="4"/>
      <c r="G13" s="4"/>
    </row>
    <row r="14" spans="1:8" ht="15" customHeight="1" x14ac:dyDescent="0.25">
      <c r="A14" s="4"/>
      <c r="B14" s="4" t="s">
        <v>4</v>
      </c>
      <c r="C14" s="39">
        <f>Assumptions!C9</f>
        <v>239.28</v>
      </c>
      <c r="E14" s="4"/>
      <c r="F14" s="4"/>
      <c r="G14" s="4"/>
    </row>
    <row r="15" spans="1:8" ht="15" customHeight="1" x14ac:dyDescent="0.25">
      <c r="A15" s="4"/>
      <c r="B15" s="4" t="s">
        <v>5</v>
      </c>
      <c r="C15" s="40">
        <f>Assumptions!C12</f>
        <v>0.25376128385155461</v>
      </c>
      <c r="E15" s="4"/>
      <c r="F15" s="4"/>
      <c r="G15" s="4"/>
    </row>
    <row r="16" spans="1:8" ht="15" customHeight="1" x14ac:dyDescent="0.25">
      <c r="A16" s="4"/>
      <c r="B16" s="4" t="s">
        <v>6</v>
      </c>
      <c r="C16" s="41">
        <f>Assumptions!C10</f>
        <v>52.33</v>
      </c>
      <c r="E16" s="4"/>
      <c r="F16" s="4"/>
      <c r="G16" s="4"/>
    </row>
    <row r="17" spans="1:7" ht="15" customHeight="1" x14ac:dyDescent="0.25">
      <c r="A17" s="4"/>
      <c r="B17" s="4" t="s">
        <v>7</v>
      </c>
      <c r="C17" s="42">
        <f>Assumptions!C11</f>
        <v>15699</v>
      </c>
      <c r="E17" s="4"/>
      <c r="F17" s="4"/>
      <c r="G17" s="4"/>
    </row>
    <row r="18" spans="1:7" ht="15" customHeight="1" x14ac:dyDescent="0.25">
      <c r="A18" s="4"/>
      <c r="B18" s="4" t="s">
        <v>8</v>
      </c>
      <c r="C18" s="42">
        <f>Assumptions!C14</f>
        <v>13799</v>
      </c>
      <c r="E18" s="4"/>
      <c r="F18" s="4"/>
      <c r="G18" s="4"/>
    </row>
    <row r="19" spans="1:7" ht="15" customHeight="1" x14ac:dyDescent="0.25">
      <c r="A19" s="4"/>
      <c r="B19" s="4" t="s">
        <v>9</v>
      </c>
      <c r="C19" s="43">
        <f>Assumptions!C20</f>
        <v>3.7244264507422402</v>
      </c>
      <c r="E19" s="4"/>
      <c r="F19" s="4"/>
      <c r="G19" s="4"/>
    </row>
    <row r="20" spans="1:7" ht="15" customHeight="1" x14ac:dyDescent="0.25">
      <c r="A20" s="4"/>
      <c r="B20" s="4"/>
      <c r="C20" s="4"/>
      <c r="D20" s="4"/>
      <c r="E20" s="4"/>
      <c r="F20" s="4"/>
      <c r="G20" s="4"/>
    </row>
    <row r="21" spans="1:7" ht="23.25" customHeight="1" x14ac:dyDescent="0.25">
      <c r="A21" s="4"/>
      <c r="B21" s="38" t="s">
        <v>10</v>
      </c>
      <c r="C21" s="3" t="s">
        <v>574</v>
      </c>
      <c r="D21" s="4"/>
      <c r="E21" s="4"/>
      <c r="F21" s="4"/>
      <c r="G21" s="4"/>
    </row>
    <row r="22" spans="1:7" ht="45.75" customHeight="1" x14ac:dyDescent="0.25">
      <c r="A22" s="4"/>
      <c r="B22" s="13" t="s">
        <v>11</v>
      </c>
      <c r="C22" s="44" t="s">
        <v>573</v>
      </c>
      <c r="D22" s="4"/>
      <c r="E22" s="4"/>
      <c r="F22" s="4"/>
      <c r="G22" s="4"/>
    </row>
    <row r="23" spans="1:7" ht="34.5" customHeight="1" x14ac:dyDescent="0.25">
      <c r="A23" s="4"/>
      <c r="B23" s="13" t="s">
        <v>12</v>
      </c>
      <c r="C23" s="44" t="s">
        <v>13</v>
      </c>
      <c r="D23" s="4"/>
      <c r="E23" s="4"/>
      <c r="F23" s="4"/>
      <c r="G23" s="4"/>
    </row>
    <row r="24" spans="1:7" ht="34.5" customHeight="1" x14ac:dyDescent="0.25">
      <c r="A24" s="4"/>
      <c r="B24" s="13" t="s">
        <v>14</v>
      </c>
      <c r="C24" s="44" t="s">
        <v>15</v>
      </c>
      <c r="D24" s="4"/>
      <c r="E24" s="4"/>
      <c r="F24" s="4"/>
      <c r="G24" s="4"/>
    </row>
    <row r="25" spans="1:7" ht="34.5" customHeight="1" x14ac:dyDescent="0.25">
      <c r="A25" s="4"/>
      <c r="B25" s="13" t="s">
        <v>16</v>
      </c>
      <c r="C25" s="44" t="s">
        <v>17</v>
      </c>
      <c r="D25" s="4"/>
      <c r="E25" s="4"/>
      <c r="F25" s="4"/>
      <c r="G25" s="4"/>
    </row>
    <row r="26" spans="1:7" ht="34.5" customHeight="1" x14ac:dyDescent="0.25">
      <c r="A26" s="4"/>
      <c r="B26" s="13" t="s">
        <v>18</v>
      </c>
      <c r="C26" s="44" t="s">
        <v>19</v>
      </c>
      <c r="D26" s="4"/>
      <c r="E26" s="4"/>
      <c r="F26" s="4"/>
      <c r="G26" s="4"/>
    </row>
    <row r="27" spans="1:7" ht="34.5" customHeight="1" x14ac:dyDescent="0.25">
      <c r="A27" s="4"/>
      <c r="B27" s="13" t="s">
        <v>20</v>
      </c>
      <c r="C27" s="44" t="s">
        <v>21</v>
      </c>
      <c r="D27" s="4"/>
      <c r="E27" s="4"/>
      <c r="F27" s="4"/>
      <c r="G27" s="4"/>
    </row>
    <row r="28" spans="1:7" ht="34.5" customHeight="1" x14ac:dyDescent="0.25">
      <c r="A28" s="4"/>
      <c r="B28" s="13" t="s">
        <v>22</v>
      </c>
      <c r="C28" s="44" t="s">
        <v>23</v>
      </c>
      <c r="D28" s="4"/>
      <c r="E28" s="4"/>
      <c r="F28" s="4"/>
      <c r="G28" s="4"/>
    </row>
    <row r="29" spans="1:7" ht="23.25" customHeight="1" x14ac:dyDescent="0.25">
      <c r="A29" s="4"/>
      <c r="B29" s="13" t="s">
        <v>24</v>
      </c>
      <c r="C29" s="44" t="s">
        <v>25</v>
      </c>
      <c r="D29" s="4"/>
      <c r="E29" s="4"/>
      <c r="F29" s="4"/>
      <c r="G29" s="4"/>
    </row>
    <row r="30" spans="1:7" ht="23.25" customHeight="1" x14ac:dyDescent="0.25">
      <c r="A30" s="4"/>
      <c r="B30" s="13" t="s">
        <v>26</v>
      </c>
      <c r="C30" s="44" t="s">
        <v>27</v>
      </c>
      <c r="D30" s="4"/>
      <c r="E30" s="4"/>
      <c r="F30" s="4"/>
      <c r="G30" s="4"/>
    </row>
    <row r="31" spans="1:7" ht="15" customHeight="1" x14ac:dyDescent="0.25">
      <c r="A31" s="4"/>
      <c r="B31" s="13" t="s">
        <v>28</v>
      </c>
      <c r="C31" s="45" t="s">
        <v>29</v>
      </c>
      <c r="D31" s="4"/>
      <c r="E31" s="4"/>
      <c r="F31" s="4"/>
      <c r="G31" s="4"/>
    </row>
    <row r="32" spans="1:7" ht="15" customHeight="1" x14ac:dyDescent="0.25">
      <c r="A32" s="4"/>
      <c r="B32" s="13" t="s">
        <v>30</v>
      </c>
      <c r="C32" s="45" t="s">
        <v>31</v>
      </c>
      <c r="D32" s="4"/>
      <c r="E32" s="4"/>
      <c r="F32" s="4"/>
      <c r="G32" s="4"/>
    </row>
    <row r="33" spans="1:7" ht="15" customHeight="1" x14ac:dyDescent="0.25">
      <c r="A33" s="4"/>
      <c r="B33" s="13" t="s">
        <v>32</v>
      </c>
      <c r="C33" s="45" t="s">
        <v>33</v>
      </c>
      <c r="D33" s="4"/>
      <c r="E33" s="4"/>
      <c r="F33" s="4"/>
      <c r="G33" s="4"/>
    </row>
    <row r="34" spans="1:7" ht="15" customHeight="1" x14ac:dyDescent="0.25">
      <c r="A34" s="4"/>
      <c r="B34" s="13" t="s">
        <v>34</v>
      </c>
      <c r="C34" s="45" t="s">
        <v>35</v>
      </c>
      <c r="D34" s="4"/>
      <c r="E34" s="4"/>
      <c r="F34" s="4"/>
      <c r="G34" s="4"/>
    </row>
    <row r="35" spans="1:7" ht="15" customHeight="1" x14ac:dyDescent="0.25">
      <c r="A35" s="4"/>
      <c r="B35" s="13" t="s">
        <v>36</v>
      </c>
      <c r="C35" s="45" t="s">
        <v>578</v>
      </c>
      <c r="D35" s="4"/>
      <c r="E35" s="4"/>
      <c r="F35" s="4"/>
      <c r="G35" s="4"/>
    </row>
    <row r="36" spans="1:7" ht="15" customHeight="1" x14ac:dyDescent="0.25">
      <c r="A36" s="4"/>
      <c r="B36" s="13" t="s">
        <v>37</v>
      </c>
      <c r="C36" s="45" t="s">
        <v>38</v>
      </c>
      <c r="D36" s="4"/>
      <c r="E36" s="4"/>
      <c r="F36" s="4"/>
      <c r="G36" s="4"/>
    </row>
    <row r="37" spans="1:7" ht="15" customHeight="1" x14ac:dyDescent="0.25">
      <c r="A37" s="4"/>
      <c r="B37" s="13" t="s">
        <v>39</v>
      </c>
      <c r="C37" s="45" t="s">
        <v>40</v>
      </c>
      <c r="D37" s="4"/>
      <c r="E37" s="4"/>
      <c r="F37" s="4"/>
      <c r="G37" s="4"/>
    </row>
    <row r="38" spans="1:7" ht="15" customHeight="1" x14ac:dyDescent="0.25">
      <c r="A38" s="4"/>
      <c r="B38" s="4"/>
      <c r="C38" s="4"/>
      <c r="D38" s="4"/>
      <c r="E38" s="4"/>
      <c r="F38" s="4"/>
      <c r="G38" s="4"/>
    </row>
    <row r="39" spans="1:7" ht="15" customHeight="1" x14ac:dyDescent="0.25">
      <c r="A39" s="4"/>
      <c r="B39" s="4"/>
      <c r="C39" s="4"/>
      <c r="D39" s="4"/>
      <c r="E39" s="4"/>
      <c r="F39" s="4"/>
      <c r="G39" s="4"/>
    </row>
    <row r="40" spans="1:7" ht="15" customHeight="1" x14ac:dyDescent="0.25">
      <c r="A40" s="4"/>
    </row>
  </sheetData>
  <mergeCells count="1">
    <mergeCell ref="B7:H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72"/>
  <sheetViews>
    <sheetView topLeftCell="B58" zoomScaleNormal="100" workbookViewId="0">
      <selection activeCell="B58" sqref="A1:XFD1048576"/>
    </sheetView>
  </sheetViews>
  <sheetFormatPr defaultColWidth="8.6640625" defaultRowHeight="13.8" x14ac:dyDescent="0.25"/>
  <cols>
    <col min="1" max="1" width="2" style="34" customWidth="1"/>
    <col min="2" max="2" width="44" style="33" customWidth="1"/>
    <col min="3" max="3" width="16" style="34" customWidth="1"/>
    <col min="4" max="4" width="50" style="33" customWidth="1"/>
    <col min="5" max="16384" width="8.6640625" style="34"/>
  </cols>
  <sheetData>
    <row r="2" spans="2:4" ht="21.75" customHeight="1" x14ac:dyDescent="0.4">
      <c r="B2" s="14" t="s">
        <v>41</v>
      </c>
    </row>
    <row r="3" spans="2:4" ht="15" customHeight="1" x14ac:dyDescent="0.25">
      <c r="B3" s="46"/>
    </row>
    <row r="5" spans="2:4" ht="15" customHeight="1" x14ac:dyDescent="0.25">
      <c r="B5" s="2" t="s">
        <v>42</v>
      </c>
      <c r="C5" s="2"/>
      <c r="D5" s="2"/>
    </row>
    <row r="7" spans="2:4" ht="15" customHeight="1" x14ac:dyDescent="0.25">
      <c r="C7" s="3" t="s">
        <v>43</v>
      </c>
      <c r="D7" s="16" t="s">
        <v>44</v>
      </c>
    </row>
    <row r="8" spans="2:4" ht="15" customHeight="1" x14ac:dyDescent="0.25">
      <c r="B8" s="17" t="s">
        <v>45</v>
      </c>
      <c r="C8" s="19">
        <v>300</v>
      </c>
      <c r="D8" s="30" t="s">
        <v>46</v>
      </c>
    </row>
    <row r="9" spans="2:4" ht="15" customHeight="1" x14ac:dyDescent="0.25">
      <c r="B9" s="18" t="s">
        <v>47</v>
      </c>
      <c r="C9" s="5">
        <v>239.28</v>
      </c>
      <c r="D9" s="30" t="s">
        <v>48</v>
      </c>
    </row>
    <row r="10" spans="2:4" ht="15" customHeight="1" x14ac:dyDescent="0.25">
      <c r="B10" s="18" t="s">
        <v>49</v>
      </c>
      <c r="C10" s="20">
        <v>52.33</v>
      </c>
      <c r="D10" s="30" t="s">
        <v>50</v>
      </c>
    </row>
    <row r="11" spans="2:4" ht="15" customHeight="1" x14ac:dyDescent="0.25">
      <c r="B11" s="18" t="s">
        <v>51</v>
      </c>
      <c r="C11" s="21">
        <f>C8*C10</f>
        <v>15699</v>
      </c>
      <c r="D11" s="31" t="s">
        <v>52</v>
      </c>
    </row>
    <row r="12" spans="2:4" ht="15" customHeight="1" x14ac:dyDescent="0.25">
      <c r="B12" s="18" t="s">
        <v>53</v>
      </c>
      <c r="C12" s="22">
        <f>C8/C9-1</f>
        <v>0.25376128385155461</v>
      </c>
      <c r="D12" s="31" t="s">
        <v>54</v>
      </c>
    </row>
    <row r="13" spans="2:4" ht="15" customHeight="1" x14ac:dyDescent="0.25">
      <c r="B13" s="18" t="s">
        <v>55</v>
      </c>
      <c r="C13" s="23">
        <v>1900</v>
      </c>
      <c r="D13" s="30" t="s">
        <v>56</v>
      </c>
    </row>
    <row r="14" spans="2:4" ht="15" customHeight="1" x14ac:dyDescent="0.25">
      <c r="B14" s="18" t="s">
        <v>57</v>
      </c>
      <c r="C14" s="21">
        <f>C11-C13</f>
        <v>13799</v>
      </c>
      <c r="D14" s="31" t="s">
        <v>58</v>
      </c>
    </row>
    <row r="16" spans="2:4" ht="15" customHeight="1" x14ac:dyDescent="0.25">
      <c r="B16" s="2" t="s">
        <v>59</v>
      </c>
      <c r="C16" s="2"/>
      <c r="D16" s="2"/>
    </row>
    <row r="18" spans="2:4" ht="15" customHeight="1" x14ac:dyDescent="0.25">
      <c r="B18" s="18" t="s">
        <v>60</v>
      </c>
      <c r="C18" s="21">
        <f>'Target Financials'!E7</f>
        <v>3131</v>
      </c>
      <c r="D18" s="31" t="s">
        <v>61</v>
      </c>
    </row>
    <row r="19" spans="2:4" ht="15" customHeight="1" x14ac:dyDescent="0.25">
      <c r="B19" s="18" t="s">
        <v>62</v>
      </c>
      <c r="C19" s="21">
        <f>'Target Financials'!F7</f>
        <v>3705</v>
      </c>
      <c r="D19" s="31" t="s">
        <v>63</v>
      </c>
    </row>
    <row r="20" spans="2:4" ht="15" customHeight="1" x14ac:dyDescent="0.25">
      <c r="B20" s="17" t="s">
        <v>64</v>
      </c>
      <c r="C20" s="24">
        <f>C14/C19</f>
        <v>3.7244264507422402</v>
      </c>
      <c r="D20" s="31" t="s">
        <v>65</v>
      </c>
    </row>
    <row r="21" spans="2:4" ht="15" customHeight="1" x14ac:dyDescent="0.25">
      <c r="B21" s="18" t="s">
        <v>66</v>
      </c>
      <c r="C21" s="24">
        <f>C14/C18</f>
        <v>4.4072181411689559</v>
      </c>
    </row>
    <row r="23" spans="2:4" ht="15" customHeight="1" x14ac:dyDescent="0.25">
      <c r="B23" s="2" t="s">
        <v>67</v>
      </c>
      <c r="C23" s="2"/>
      <c r="D23" s="2"/>
    </row>
    <row r="24" spans="2:4" ht="15" customHeight="1" x14ac:dyDescent="0.25">
      <c r="B24" s="17" t="s">
        <v>68</v>
      </c>
      <c r="C24" s="25">
        <v>0.7</v>
      </c>
      <c r="D24" s="30" t="s">
        <v>69</v>
      </c>
    </row>
    <row r="25" spans="2:4" ht="15" customHeight="1" x14ac:dyDescent="0.25">
      <c r="B25" s="18" t="s">
        <v>70</v>
      </c>
      <c r="C25" s="22">
        <f>1-C24</f>
        <v>0.30000000000000004</v>
      </c>
      <c r="D25" s="31" t="s">
        <v>71</v>
      </c>
    </row>
    <row r="26" spans="2:4" ht="15" customHeight="1" x14ac:dyDescent="0.25">
      <c r="B26" s="18" t="s">
        <v>72</v>
      </c>
      <c r="C26" s="21">
        <f>C11*C24</f>
        <v>10989.3</v>
      </c>
    </row>
    <row r="27" spans="2:4" ht="15" customHeight="1" x14ac:dyDescent="0.25">
      <c r="B27" s="18" t="s">
        <v>73</v>
      </c>
      <c r="C27" s="21">
        <f>C11*C25</f>
        <v>4709.7000000000007</v>
      </c>
    </row>
    <row r="28" spans="2:4" ht="15" customHeight="1" x14ac:dyDescent="0.25">
      <c r="B28" s="18" t="s">
        <v>74</v>
      </c>
      <c r="C28" s="5">
        <v>246</v>
      </c>
      <c r="D28" s="30" t="s">
        <v>75</v>
      </c>
    </row>
    <row r="29" spans="2:4" ht="15" customHeight="1" x14ac:dyDescent="0.25">
      <c r="B29" s="18" t="s">
        <v>76</v>
      </c>
      <c r="C29" s="26">
        <f>C27/C28</f>
        <v>19.145121951219515</v>
      </c>
      <c r="D29" s="31" t="s">
        <v>77</v>
      </c>
    </row>
    <row r="31" spans="2:4" ht="15" customHeight="1" x14ac:dyDescent="0.25">
      <c r="B31" s="2" t="s">
        <v>78</v>
      </c>
      <c r="C31" s="2"/>
      <c r="D31" s="2"/>
    </row>
    <row r="32" spans="2:4" ht="15" customHeight="1" x14ac:dyDescent="0.25">
      <c r="B32" s="18" t="s">
        <v>79</v>
      </c>
      <c r="C32" s="23">
        <v>8000</v>
      </c>
      <c r="D32" s="30" t="s">
        <v>80</v>
      </c>
    </row>
    <row r="33" spans="2:4" ht="15" customHeight="1" x14ac:dyDescent="0.25">
      <c r="B33" s="18" t="s">
        <v>81</v>
      </c>
      <c r="C33" s="25">
        <v>5.1999999999999998E-2</v>
      </c>
      <c r="D33" s="30" t="s">
        <v>82</v>
      </c>
    </row>
    <row r="34" spans="2:4" ht="15" customHeight="1" x14ac:dyDescent="0.25">
      <c r="B34" s="18" t="s">
        <v>83</v>
      </c>
      <c r="C34" s="21">
        <f>C32*C33</f>
        <v>416</v>
      </c>
      <c r="D34" s="31" t="s">
        <v>84</v>
      </c>
    </row>
    <row r="35" spans="2:4" ht="15" customHeight="1" x14ac:dyDescent="0.25">
      <c r="B35" s="18" t="s">
        <v>85</v>
      </c>
      <c r="C35" s="23">
        <v>350</v>
      </c>
      <c r="D35" s="30" t="s">
        <v>86</v>
      </c>
    </row>
    <row r="37" spans="2:4" ht="15" customHeight="1" x14ac:dyDescent="0.25">
      <c r="B37" s="2" t="s">
        <v>87</v>
      </c>
      <c r="C37" s="2"/>
      <c r="D37" s="2"/>
    </row>
    <row r="38" spans="2:4" ht="15" customHeight="1" x14ac:dyDescent="0.25">
      <c r="B38" s="18" t="s">
        <v>88</v>
      </c>
      <c r="C38" s="25">
        <v>4.2999999999999997E-2</v>
      </c>
      <c r="D38" s="30" t="s">
        <v>89</v>
      </c>
    </row>
    <row r="39" spans="2:4" ht="15" customHeight="1" x14ac:dyDescent="0.25">
      <c r="B39" s="18" t="s">
        <v>90</v>
      </c>
      <c r="C39" s="25">
        <v>5.5E-2</v>
      </c>
      <c r="D39" s="30" t="s">
        <v>91</v>
      </c>
    </row>
    <row r="40" spans="2:4" ht="15" customHeight="1" x14ac:dyDescent="0.25">
      <c r="B40" s="17" t="s">
        <v>92</v>
      </c>
      <c r="C40" s="27">
        <v>1.1000000000000001</v>
      </c>
      <c r="D40" s="30" t="s">
        <v>93</v>
      </c>
    </row>
    <row r="41" spans="2:4" ht="15" customHeight="1" x14ac:dyDescent="0.25">
      <c r="B41" s="18" t="s">
        <v>94</v>
      </c>
      <c r="C41" s="22">
        <f>C38+C40*C39</f>
        <v>0.10350000000000001</v>
      </c>
      <c r="D41" s="31" t="s">
        <v>95</v>
      </c>
    </row>
    <row r="42" spans="2:4" ht="15" customHeight="1" x14ac:dyDescent="0.25">
      <c r="B42" s="18" t="s">
        <v>96</v>
      </c>
      <c r="C42" s="25">
        <v>5.1999999999999998E-2</v>
      </c>
      <c r="D42" s="30" t="s">
        <v>97</v>
      </c>
    </row>
    <row r="43" spans="2:4" ht="15" customHeight="1" x14ac:dyDescent="0.25">
      <c r="B43" s="18" t="s">
        <v>98</v>
      </c>
      <c r="C43" s="28">
        <v>0.21</v>
      </c>
      <c r="D43" s="30" t="s">
        <v>99</v>
      </c>
    </row>
    <row r="44" spans="2:4" ht="15" customHeight="1" x14ac:dyDescent="0.25">
      <c r="B44" s="18" t="s">
        <v>100</v>
      </c>
      <c r="C44" s="22">
        <f>C42*(1-C43)</f>
        <v>4.1079999999999998E-2</v>
      </c>
      <c r="D44" s="31" t="s">
        <v>101</v>
      </c>
    </row>
    <row r="45" spans="2:4" ht="15" customHeight="1" x14ac:dyDescent="0.25">
      <c r="B45" s="18" t="s">
        <v>102</v>
      </c>
      <c r="C45" s="25">
        <v>0.95</v>
      </c>
      <c r="D45" s="30" t="s">
        <v>103</v>
      </c>
    </row>
    <row r="46" spans="2:4" ht="15" customHeight="1" x14ac:dyDescent="0.25">
      <c r="B46" s="18" t="s">
        <v>104</v>
      </c>
      <c r="C46" s="22">
        <f>1-C45</f>
        <v>5.0000000000000044E-2</v>
      </c>
      <c r="D46" s="31" t="s">
        <v>105</v>
      </c>
    </row>
    <row r="47" spans="2:4" ht="15" customHeight="1" x14ac:dyDescent="0.25">
      <c r="B47" s="17" t="s">
        <v>106</v>
      </c>
      <c r="C47" s="29">
        <f>C45*C41+C46*C44</f>
        <v>0.10037900000000001</v>
      </c>
      <c r="D47" s="31" t="s">
        <v>107</v>
      </c>
    </row>
    <row r="48" spans="2:4" ht="15" customHeight="1" x14ac:dyDescent="0.25">
      <c r="B48" s="17" t="s">
        <v>108</v>
      </c>
      <c r="C48" s="28">
        <v>0.04</v>
      </c>
      <c r="D48" s="30" t="s">
        <v>109</v>
      </c>
    </row>
    <row r="49" spans="2:4" ht="15" customHeight="1" x14ac:dyDescent="0.25">
      <c r="B49" s="18" t="s">
        <v>110</v>
      </c>
      <c r="C49" s="25">
        <v>0.03</v>
      </c>
      <c r="D49" s="30" t="s">
        <v>111</v>
      </c>
    </row>
    <row r="50" spans="2:4" ht="15" customHeight="1" x14ac:dyDescent="0.25">
      <c r="B50" s="18" t="s">
        <v>112</v>
      </c>
      <c r="C50" s="25">
        <v>0.03</v>
      </c>
      <c r="D50" s="30" t="s">
        <v>113</v>
      </c>
    </row>
    <row r="51" spans="2:4" ht="15" customHeight="1" x14ac:dyDescent="0.25">
      <c r="B51" s="18" t="s">
        <v>114</v>
      </c>
      <c r="C51" s="25">
        <v>0</v>
      </c>
      <c r="D51" s="30" t="s">
        <v>115</v>
      </c>
    </row>
    <row r="53" spans="2:4" ht="15" customHeight="1" x14ac:dyDescent="0.25">
      <c r="B53" s="2" t="s">
        <v>116</v>
      </c>
      <c r="C53" s="2"/>
      <c r="D53" s="2"/>
    </row>
    <row r="54" spans="2:4" ht="15" customHeight="1" x14ac:dyDescent="0.25">
      <c r="B54" s="18" t="s">
        <v>117</v>
      </c>
      <c r="C54" s="20">
        <v>1028</v>
      </c>
      <c r="D54" s="30" t="s">
        <v>118</v>
      </c>
    </row>
    <row r="55" spans="2:4" ht="15" customHeight="1" x14ac:dyDescent="0.25">
      <c r="B55" s="18" t="s">
        <v>119</v>
      </c>
      <c r="C55" s="5">
        <v>11.2</v>
      </c>
      <c r="D55" s="30" t="s">
        <v>120</v>
      </c>
    </row>
    <row r="56" spans="2:4" ht="15" customHeight="1" x14ac:dyDescent="0.25">
      <c r="B56" s="18" t="s">
        <v>121</v>
      </c>
      <c r="C56" s="5">
        <v>12.4</v>
      </c>
      <c r="D56" s="30" t="s">
        <v>122</v>
      </c>
    </row>
    <row r="57" spans="2:4" ht="15" customHeight="1" x14ac:dyDescent="0.25">
      <c r="B57" s="18" t="s">
        <v>123</v>
      </c>
      <c r="C57" s="23">
        <v>360</v>
      </c>
      <c r="D57" s="30" t="s">
        <v>124</v>
      </c>
    </row>
    <row r="58" spans="2:4" ht="15" customHeight="1" x14ac:dyDescent="0.25">
      <c r="B58" s="18" t="s">
        <v>125</v>
      </c>
      <c r="C58" s="23">
        <v>758</v>
      </c>
      <c r="D58" s="30" t="s">
        <v>126</v>
      </c>
    </row>
    <row r="60" spans="2:4" ht="15" customHeight="1" x14ac:dyDescent="0.25">
      <c r="B60" s="2" t="s">
        <v>127</v>
      </c>
      <c r="C60" s="2"/>
      <c r="D60" s="2"/>
    </row>
    <row r="61" spans="2:4" ht="15" customHeight="1" x14ac:dyDescent="0.25">
      <c r="B61" s="18" t="s">
        <v>128</v>
      </c>
      <c r="C61" s="26">
        <f>C54+C29</f>
        <v>1047.1451219512196</v>
      </c>
      <c r="D61" s="31" t="s">
        <v>129</v>
      </c>
    </row>
    <row r="63" spans="2:4" ht="15" customHeight="1" x14ac:dyDescent="0.25">
      <c r="B63" s="2" t="s">
        <v>130</v>
      </c>
      <c r="C63" s="2"/>
      <c r="D63" s="2"/>
    </row>
    <row r="64" spans="2:4" ht="15" customHeight="1" x14ac:dyDescent="0.25">
      <c r="B64" s="33" t="s">
        <v>131</v>
      </c>
      <c r="C64" s="47">
        <v>0.13</v>
      </c>
      <c r="D64" s="31" t="s">
        <v>132</v>
      </c>
    </row>
    <row r="65" spans="2:4" ht="15" customHeight="1" x14ac:dyDescent="0.25">
      <c r="B65" s="33" t="s">
        <v>133</v>
      </c>
      <c r="C65" s="47">
        <v>0.08</v>
      </c>
      <c r="D65" s="31" t="s">
        <v>134</v>
      </c>
    </row>
    <row r="67" spans="2:4" ht="15" customHeight="1" x14ac:dyDescent="0.25">
      <c r="B67" s="2" t="s">
        <v>135</v>
      </c>
      <c r="C67" s="2"/>
      <c r="D67" s="2"/>
    </row>
    <row r="68" spans="2:4" ht="15" customHeight="1" x14ac:dyDescent="0.25">
      <c r="B68" s="18" t="s">
        <v>136</v>
      </c>
      <c r="C68" s="48">
        <v>0.17</v>
      </c>
      <c r="D68" s="31" t="s">
        <v>137</v>
      </c>
    </row>
    <row r="69" spans="2:4" ht="15" customHeight="1" x14ac:dyDescent="0.25">
      <c r="B69" s="18" t="s">
        <v>138</v>
      </c>
      <c r="C69" s="48">
        <v>0.05</v>
      </c>
      <c r="D69" s="31" t="s">
        <v>139</v>
      </c>
    </row>
    <row r="70" spans="2:4" ht="15" customHeight="1" x14ac:dyDescent="0.25">
      <c r="B70" s="18" t="s">
        <v>140</v>
      </c>
      <c r="C70" s="48">
        <v>0.4</v>
      </c>
      <c r="D70" s="31" t="s">
        <v>141</v>
      </c>
    </row>
    <row r="71" spans="2:4" ht="15" customHeight="1" x14ac:dyDescent="0.25">
      <c r="B71" s="18" t="s">
        <v>142</v>
      </c>
      <c r="C71" s="48">
        <v>0.12</v>
      </c>
      <c r="D71" s="31" t="s">
        <v>143</v>
      </c>
    </row>
    <row r="72" spans="2:4" ht="15" customHeight="1" x14ac:dyDescent="0.25">
      <c r="B72" s="17" t="s">
        <v>144</v>
      </c>
      <c r="C72" s="49">
        <f>C68+C69-C70-C71</f>
        <v>-0.3</v>
      </c>
      <c r="D72" s="31" t="s">
        <v>145</v>
      </c>
    </row>
  </sheetData>
  <mergeCells count="9">
    <mergeCell ref="B53:D53"/>
    <mergeCell ref="B60:D60"/>
    <mergeCell ref="B63:D63"/>
    <mergeCell ref="B67:D67"/>
    <mergeCell ref="B5:D5"/>
    <mergeCell ref="B16:D16"/>
    <mergeCell ref="B23:D23"/>
    <mergeCell ref="B31:D31"/>
    <mergeCell ref="B37:D3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21"/>
  <sheetViews>
    <sheetView zoomScaleNormal="100" workbookViewId="0">
      <selection activeCell="B17" sqref="B17:B21"/>
    </sheetView>
  </sheetViews>
  <sheetFormatPr defaultColWidth="8.6640625" defaultRowHeight="13.8" x14ac:dyDescent="0.25"/>
  <cols>
    <col min="1" max="1" width="2" style="34" customWidth="1"/>
    <col min="2" max="2" width="46.109375" style="34" customWidth="1"/>
    <col min="3" max="11" width="14" style="34" customWidth="1"/>
    <col min="12" max="16384" width="8.6640625" style="34"/>
  </cols>
  <sheetData>
    <row r="2" spans="2:13" s="33" customFormat="1" ht="21.75" customHeight="1" x14ac:dyDescent="0.4">
      <c r="B2" s="14" t="s">
        <v>146</v>
      </c>
    </row>
    <row r="3" spans="2:13" s="33" customFormat="1" ht="15" customHeight="1" x14ac:dyDescent="0.25">
      <c r="B3" s="46"/>
    </row>
    <row r="4" spans="2:13" x14ac:dyDescent="0.25">
      <c r="B4" s="46"/>
    </row>
    <row r="5" spans="2:13" ht="15" customHeight="1" x14ac:dyDescent="0.25">
      <c r="B5" s="2" t="s">
        <v>147</v>
      </c>
      <c r="C5" s="2"/>
      <c r="D5" s="2"/>
      <c r="E5" s="2"/>
      <c r="F5" s="2"/>
      <c r="G5" s="2"/>
      <c r="H5" s="2"/>
      <c r="I5" s="2"/>
      <c r="J5" s="2"/>
    </row>
    <row r="6" spans="2:13" ht="15" customHeight="1" x14ac:dyDescent="0.25">
      <c r="B6" s="3" t="s">
        <v>148</v>
      </c>
      <c r="C6" s="50" t="s">
        <v>149</v>
      </c>
      <c r="D6" s="50" t="s">
        <v>150</v>
      </c>
      <c r="E6" s="50" t="s">
        <v>151</v>
      </c>
      <c r="F6" s="50" t="s">
        <v>152</v>
      </c>
      <c r="G6" s="50" t="s">
        <v>153</v>
      </c>
      <c r="H6" s="50" t="s">
        <v>154</v>
      </c>
      <c r="I6" s="50" t="s">
        <v>155</v>
      </c>
      <c r="J6" s="50" t="s">
        <v>156</v>
      </c>
      <c r="K6" s="50" t="s">
        <v>157</v>
      </c>
      <c r="L6" s="50" t="s">
        <v>158</v>
      </c>
      <c r="M6" s="50" t="s">
        <v>159</v>
      </c>
    </row>
    <row r="7" spans="2:13" ht="15" customHeight="1" x14ac:dyDescent="0.25">
      <c r="B7" s="13" t="s">
        <v>160</v>
      </c>
      <c r="C7" s="23">
        <v>2170</v>
      </c>
      <c r="D7" s="23">
        <v>2628</v>
      </c>
      <c r="E7" s="23">
        <v>3131</v>
      </c>
      <c r="F7" s="23">
        <v>3705</v>
      </c>
      <c r="G7" s="21">
        <f t="shared" ref="G7:M7" si="0">F7*(1+G9)</f>
        <v>4338.5550000000003</v>
      </c>
      <c r="H7" s="21">
        <f t="shared" si="0"/>
        <v>5028.3852450000004</v>
      </c>
      <c r="I7" s="21">
        <f t="shared" si="0"/>
        <v>5732.3591793000014</v>
      </c>
      <c r="J7" s="21">
        <f t="shared" si="0"/>
        <v>6420.2422808160018</v>
      </c>
      <c r="K7" s="21">
        <f t="shared" si="0"/>
        <v>7062.2665088976028</v>
      </c>
      <c r="L7" s="21">
        <f t="shared" si="0"/>
        <v>7627.2478296094114</v>
      </c>
      <c r="M7" s="21">
        <f t="shared" si="0"/>
        <v>8084.8826993859766</v>
      </c>
    </row>
    <row r="8" spans="2:13" ht="15" customHeight="1" x14ac:dyDescent="0.25">
      <c r="B8" s="34" t="s">
        <v>161</v>
      </c>
      <c r="D8" s="22">
        <f t="shared" ref="D8:M8" si="1">D7/C7-1</f>
        <v>0.21105990783410133</v>
      </c>
      <c r="E8" s="22">
        <f t="shared" si="1"/>
        <v>0.19140030441400313</v>
      </c>
      <c r="F8" s="22">
        <f t="shared" si="1"/>
        <v>0.18332801022037692</v>
      </c>
      <c r="G8" s="22">
        <f t="shared" si="1"/>
        <v>0.17100000000000004</v>
      </c>
      <c r="H8" s="22">
        <f t="shared" si="1"/>
        <v>0.15900000000000003</v>
      </c>
      <c r="I8" s="22">
        <f t="shared" si="1"/>
        <v>0.14000000000000012</v>
      </c>
      <c r="J8" s="22">
        <f t="shared" si="1"/>
        <v>0.12000000000000011</v>
      </c>
      <c r="K8" s="22">
        <f t="shared" si="1"/>
        <v>0.10000000000000009</v>
      </c>
      <c r="L8" s="22">
        <f t="shared" si="1"/>
        <v>8.0000000000000071E-2</v>
      </c>
      <c r="M8" s="22">
        <f t="shared" si="1"/>
        <v>6.0000000000000053E-2</v>
      </c>
    </row>
    <row r="9" spans="2:13" ht="15" customHeight="1" x14ac:dyDescent="0.25">
      <c r="B9" s="7" t="s">
        <v>162</v>
      </c>
      <c r="G9" s="25">
        <v>0.17100000000000001</v>
      </c>
      <c r="H9" s="25">
        <v>0.159</v>
      </c>
      <c r="I9" s="25">
        <v>0.14000000000000001</v>
      </c>
      <c r="J9" s="25">
        <v>0.12</v>
      </c>
      <c r="K9" s="25">
        <v>0.1</v>
      </c>
      <c r="L9" s="25">
        <v>0.08</v>
      </c>
      <c r="M9" s="25">
        <v>0.06</v>
      </c>
    </row>
    <row r="10" spans="2:13" ht="15" customHeight="1" x14ac:dyDescent="0.25">
      <c r="B10" s="34" t="s">
        <v>163</v>
      </c>
      <c r="C10" s="25">
        <v>0.83</v>
      </c>
      <c r="D10" s="25">
        <v>0.84</v>
      </c>
      <c r="E10" s="25">
        <v>0.85</v>
      </c>
      <c r="F10" s="25">
        <v>0.86</v>
      </c>
    </row>
    <row r="11" spans="2:13" ht="15" customHeight="1" x14ac:dyDescent="0.25">
      <c r="B11" s="34" t="s">
        <v>164</v>
      </c>
      <c r="C11" s="25">
        <v>0.11</v>
      </c>
      <c r="D11" s="25">
        <v>0.18</v>
      </c>
      <c r="E11" s="25">
        <v>0.19</v>
      </c>
      <c r="F11" s="25">
        <v>0.2</v>
      </c>
      <c r="G11" s="25">
        <v>0.21</v>
      </c>
      <c r="H11" s="25">
        <v>0.22</v>
      </c>
      <c r="I11" s="25">
        <v>0.23</v>
      </c>
      <c r="J11" s="25">
        <v>0.24</v>
      </c>
      <c r="K11" s="25">
        <v>0.25</v>
      </c>
      <c r="L11" s="25">
        <v>0.26</v>
      </c>
      <c r="M11" s="25">
        <v>0.27</v>
      </c>
    </row>
    <row r="12" spans="2:13" ht="15" customHeight="1" x14ac:dyDescent="0.25">
      <c r="B12" s="13" t="s">
        <v>165</v>
      </c>
      <c r="C12" s="21">
        <f t="shared" ref="C12:M12" si="2">C7*C11</f>
        <v>238.7</v>
      </c>
      <c r="D12" s="21">
        <f t="shared" si="2"/>
        <v>473.03999999999996</v>
      </c>
      <c r="E12" s="21">
        <f t="shared" si="2"/>
        <v>594.89</v>
      </c>
      <c r="F12" s="21">
        <f t="shared" si="2"/>
        <v>741</v>
      </c>
      <c r="G12" s="21">
        <f t="shared" si="2"/>
        <v>911.09654999999998</v>
      </c>
      <c r="H12" s="21">
        <f t="shared" si="2"/>
        <v>1106.2447539000002</v>
      </c>
      <c r="I12" s="21">
        <f t="shared" si="2"/>
        <v>1318.4426112390004</v>
      </c>
      <c r="J12" s="21">
        <f t="shared" si="2"/>
        <v>1540.8581473958404</v>
      </c>
      <c r="K12" s="21">
        <f t="shared" si="2"/>
        <v>1765.5666272244007</v>
      </c>
      <c r="L12" s="21">
        <f t="shared" si="2"/>
        <v>1983.0844356984471</v>
      </c>
      <c r="M12" s="21">
        <f t="shared" si="2"/>
        <v>2182.9183288342138</v>
      </c>
    </row>
    <row r="13" spans="2:13" ht="15" customHeight="1" x14ac:dyDescent="0.25">
      <c r="B13" s="34" t="s">
        <v>166</v>
      </c>
      <c r="C13" s="51">
        <v>177</v>
      </c>
      <c r="D13" s="51">
        <v>216.84</v>
      </c>
      <c r="E13" s="51">
        <v>248</v>
      </c>
      <c r="F13" s="51">
        <v>280</v>
      </c>
    </row>
    <row r="14" spans="2:13" ht="15" customHeight="1" x14ac:dyDescent="0.25">
      <c r="B14" s="34" t="s">
        <v>167</v>
      </c>
      <c r="C14" s="25">
        <v>1.07</v>
      </c>
      <c r="D14" s="25">
        <v>1.06</v>
      </c>
      <c r="E14" s="25">
        <v>1.05</v>
      </c>
      <c r="F14" s="25">
        <v>1.05</v>
      </c>
    </row>
    <row r="16" spans="2:13" s="33" customFormat="1" ht="15" customHeight="1" x14ac:dyDescent="0.25">
      <c r="B16" s="17" t="s">
        <v>168</v>
      </c>
    </row>
    <row r="17" spans="2:2" s="33" customFormat="1" ht="15" customHeight="1" x14ac:dyDescent="0.25">
      <c r="B17" s="18" t="s">
        <v>169</v>
      </c>
    </row>
    <row r="18" spans="2:2" s="33" customFormat="1" ht="15" customHeight="1" x14ac:dyDescent="0.25">
      <c r="B18" s="18" t="s">
        <v>170</v>
      </c>
    </row>
    <row r="19" spans="2:2" s="33" customFormat="1" ht="15" customHeight="1" x14ac:dyDescent="0.25">
      <c r="B19" s="18" t="s">
        <v>171</v>
      </c>
    </row>
    <row r="20" spans="2:2" s="33" customFormat="1" ht="15" customHeight="1" x14ac:dyDescent="0.25">
      <c r="B20" s="18" t="s">
        <v>172</v>
      </c>
    </row>
    <row r="21" spans="2:2" s="33" customFormat="1" ht="15" customHeight="1" x14ac:dyDescent="0.25">
      <c r="B21" s="18" t="s">
        <v>173</v>
      </c>
    </row>
  </sheetData>
  <mergeCells count="1">
    <mergeCell ref="B5:J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27"/>
  <sheetViews>
    <sheetView topLeftCell="A4" zoomScaleNormal="100" workbookViewId="0">
      <selection activeCell="B24" sqref="B24:B27"/>
    </sheetView>
  </sheetViews>
  <sheetFormatPr defaultColWidth="8.6640625" defaultRowHeight="13.8" x14ac:dyDescent="0.25"/>
  <cols>
    <col min="1" max="1" width="2" style="34" customWidth="1"/>
    <col min="2" max="2" width="46.5546875" style="34" customWidth="1"/>
    <col min="3" max="8" width="13" style="34" customWidth="1"/>
    <col min="9" max="16384" width="8.6640625" style="34"/>
  </cols>
  <sheetData>
    <row r="2" spans="2:8" ht="21.75" customHeight="1" x14ac:dyDescent="0.4">
      <c r="B2" s="1" t="s">
        <v>174</v>
      </c>
    </row>
    <row r="3" spans="2:8" ht="15" customHeight="1" x14ac:dyDescent="0.25">
      <c r="B3" s="98"/>
    </row>
    <row r="5" spans="2:8" ht="15" customHeight="1" x14ac:dyDescent="0.25">
      <c r="B5" s="2" t="s">
        <v>175</v>
      </c>
      <c r="C5" s="2"/>
      <c r="D5" s="2"/>
      <c r="E5" s="2"/>
      <c r="F5" s="2"/>
      <c r="G5" s="2"/>
      <c r="H5" s="2"/>
    </row>
    <row r="6" spans="2:8" ht="15" customHeight="1" x14ac:dyDescent="0.25">
      <c r="B6" s="3" t="s">
        <v>176</v>
      </c>
      <c r="C6" s="3" t="s">
        <v>177</v>
      </c>
      <c r="D6" s="3" t="s">
        <v>178</v>
      </c>
      <c r="E6" s="3" t="s">
        <v>179</v>
      </c>
      <c r="F6" s="3" t="s">
        <v>180</v>
      </c>
      <c r="G6" s="3" t="s">
        <v>181</v>
      </c>
      <c r="H6" s="3" t="s">
        <v>182</v>
      </c>
    </row>
    <row r="7" spans="2:8" ht="15" customHeight="1" x14ac:dyDescent="0.25">
      <c r="B7" s="4" t="s">
        <v>183</v>
      </c>
      <c r="C7" s="23">
        <v>253000</v>
      </c>
      <c r="D7" s="23">
        <v>247000</v>
      </c>
      <c r="E7" s="23">
        <v>45700</v>
      </c>
      <c r="F7" s="25">
        <v>0.1</v>
      </c>
      <c r="G7" s="25">
        <v>0.78</v>
      </c>
      <c r="H7" s="24">
        <f t="shared" ref="H7:H13" si="0">D7/E7</f>
        <v>5.4048140043763677</v>
      </c>
    </row>
    <row r="8" spans="2:8" ht="15" customHeight="1" x14ac:dyDescent="0.25">
      <c r="B8" s="4" t="s">
        <v>184</v>
      </c>
      <c r="C8" s="23">
        <v>198000</v>
      </c>
      <c r="D8" s="23">
        <v>196000</v>
      </c>
      <c r="E8" s="23">
        <v>13500</v>
      </c>
      <c r="F8" s="25">
        <v>0.19</v>
      </c>
      <c r="G8" s="25">
        <v>0.8</v>
      </c>
      <c r="H8" s="24">
        <f t="shared" si="0"/>
        <v>14.518518518518519</v>
      </c>
    </row>
    <row r="9" spans="2:8" ht="15" customHeight="1" x14ac:dyDescent="0.25">
      <c r="B9" s="4" t="s">
        <v>185</v>
      </c>
      <c r="C9" s="23">
        <v>5800</v>
      </c>
      <c r="D9" s="23">
        <v>4900</v>
      </c>
      <c r="E9" s="23">
        <v>1070</v>
      </c>
      <c r="F9" s="25">
        <v>0.16</v>
      </c>
      <c r="G9" s="25">
        <v>0.83</v>
      </c>
      <c r="H9" s="24">
        <f t="shared" si="0"/>
        <v>4.5794392523364484</v>
      </c>
    </row>
    <row r="10" spans="2:8" ht="15" customHeight="1" x14ac:dyDescent="0.25">
      <c r="B10" s="4" t="s">
        <v>186</v>
      </c>
      <c r="C10" s="23">
        <v>11500</v>
      </c>
      <c r="D10" s="23">
        <v>10800</v>
      </c>
      <c r="E10" s="23">
        <v>1620</v>
      </c>
      <c r="F10" s="25">
        <v>0.22</v>
      </c>
      <c r="G10" s="25">
        <v>0.89</v>
      </c>
      <c r="H10" s="24">
        <f t="shared" si="0"/>
        <v>6.666666666666667</v>
      </c>
    </row>
    <row r="11" spans="2:8" ht="15" customHeight="1" x14ac:dyDescent="0.25">
      <c r="B11" s="4" t="s">
        <v>187</v>
      </c>
      <c r="C11" s="52" t="s">
        <v>188</v>
      </c>
      <c r="D11" s="23">
        <v>10200</v>
      </c>
      <c r="E11" s="23">
        <v>1730</v>
      </c>
      <c r="F11" s="25">
        <v>0.15</v>
      </c>
      <c r="G11" s="25">
        <v>0.77</v>
      </c>
      <c r="H11" s="24">
        <f t="shared" si="0"/>
        <v>5.8959537572254339</v>
      </c>
    </row>
    <row r="12" spans="2:8" ht="15" customHeight="1" x14ac:dyDescent="0.25">
      <c r="B12" s="4" t="s">
        <v>189</v>
      </c>
      <c r="C12" s="23">
        <v>3200</v>
      </c>
      <c r="D12" s="23">
        <v>2900</v>
      </c>
      <c r="E12" s="23">
        <v>590</v>
      </c>
      <c r="F12" s="25">
        <v>0.21</v>
      </c>
      <c r="G12" s="25">
        <v>0.69</v>
      </c>
      <c r="H12" s="24">
        <f t="shared" si="0"/>
        <v>4.9152542372881358</v>
      </c>
    </row>
    <row r="13" spans="2:8" ht="15" customHeight="1" x14ac:dyDescent="0.25">
      <c r="B13" s="4" t="s">
        <v>190</v>
      </c>
      <c r="C13" s="23">
        <v>2100</v>
      </c>
      <c r="D13" s="23">
        <v>2200</v>
      </c>
      <c r="E13" s="23">
        <v>420</v>
      </c>
      <c r="F13" s="25">
        <v>0.18</v>
      </c>
      <c r="G13" s="25">
        <v>0.74</v>
      </c>
      <c r="H13" s="24">
        <f t="shared" si="0"/>
        <v>5.2380952380952381</v>
      </c>
    </row>
    <row r="14" spans="2:8" ht="15" customHeight="1" x14ac:dyDescent="0.25">
      <c r="B14" s="53" t="s">
        <v>191</v>
      </c>
      <c r="C14" s="54" t="s">
        <v>192</v>
      </c>
      <c r="D14" s="55">
        <f>MEDIAN(D7:D13)</f>
        <v>10200</v>
      </c>
      <c r="E14" s="55">
        <f>MEDIAN(E7:E13)</f>
        <v>1620</v>
      </c>
      <c r="F14" s="56">
        <f>MEDIAN(F7:F13)</f>
        <v>0.18</v>
      </c>
      <c r="G14" s="56">
        <f>MEDIAN(G7:G13)</f>
        <v>0.78</v>
      </c>
      <c r="H14" s="57">
        <f>MEDIAN(H7:H13)</f>
        <v>5.4048140043763677</v>
      </c>
    </row>
    <row r="15" spans="2:8" ht="15" customHeight="1" x14ac:dyDescent="0.25">
      <c r="B15" s="13" t="s">
        <v>193</v>
      </c>
      <c r="C15" s="23">
        <v>12600</v>
      </c>
      <c r="D15" s="23">
        <v>10800</v>
      </c>
      <c r="E15" s="23">
        <v>3710</v>
      </c>
      <c r="F15" s="25">
        <v>0.18</v>
      </c>
      <c r="G15" s="25">
        <v>0.85</v>
      </c>
      <c r="H15" s="24">
        <f>D15/E15</f>
        <v>2.9110512129380055</v>
      </c>
    </row>
    <row r="17" spans="2:8" ht="15" customHeight="1" x14ac:dyDescent="0.25">
      <c r="B17" s="2" t="s">
        <v>194</v>
      </c>
      <c r="C17" s="2"/>
      <c r="D17" s="2"/>
      <c r="E17" s="2"/>
      <c r="F17" s="2"/>
      <c r="G17" s="2"/>
      <c r="H17" s="2"/>
    </row>
    <row r="18" spans="2:8" ht="23.25" customHeight="1" x14ac:dyDescent="0.25">
      <c r="B18" s="3" t="s">
        <v>195</v>
      </c>
      <c r="C18" s="3" t="s">
        <v>196</v>
      </c>
      <c r="D18" s="3" t="s">
        <v>197</v>
      </c>
      <c r="E18" s="3" t="s">
        <v>198</v>
      </c>
      <c r="F18" s="3" t="s">
        <v>199</v>
      </c>
      <c r="G18" s="3" t="s">
        <v>200</v>
      </c>
      <c r="H18" s="3" t="s">
        <v>201</v>
      </c>
    </row>
    <row r="19" spans="2:8" ht="15" customHeight="1" x14ac:dyDescent="0.25">
      <c r="B19" s="4" t="s">
        <v>202</v>
      </c>
      <c r="C19" s="58">
        <v>4</v>
      </c>
      <c r="D19" s="58">
        <v>6</v>
      </c>
      <c r="E19" s="21">
        <f>C19*E15</f>
        <v>14840</v>
      </c>
      <c r="F19" s="21">
        <f>D19*E15</f>
        <v>22260</v>
      </c>
      <c r="G19" s="6">
        <f>(E19+Assumptions!C13)/Assumptions!C10</f>
        <v>319.89298681444677</v>
      </c>
      <c r="H19" s="6">
        <f>(F19+Assumptions!C13)/Assumptions!C10</f>
        <v>461.6854576724632</v>
      </c>
    </row>
    <row r="21" spans="2:8" ht="15" customHeight="1" x14ac:dyDescent="0.25">
      <c r="B21" s="13" t="s">
        <v>203</v>
      </c>
      <c r="C21" s="22">
        <f>H15/H14-1</f>
        <v>-0.46139659744426376</v>
      </c>
    </row>
    <row r="23" spans="2:8" s="33" customFormat="1" ht="15" customHeight="1" x14ac:dyDescent="0.25">
      <c r="B23" s="17" t="s">
        <v>168</v>
      </c>
    </row>
    <row r="24" spans="2:8" s="33" customFormat="1" ht="15" customHeight="1" x14ac:dyDescent="0.25">
      <c r="B24" s="18" t="s">
        <v>204</v>
      </c>
    </row>
    <row r="25" spans="2:8" s="33" customFormat="1" ht="15" customHeight="1" x14ac:dyDescent="0.25">
      <c r="B25" s="18" t="s">
        <v>205</v>
      </c>
    </row>
    <row r="26" spans="2:8" s="33" customFormat="1" ht="15" customHeight="1" x14ac:dyDescent="0.25">
      <c r="B26" s="18" t="s">
        <v>206</v>
      </c>
    </row>
    <row r="27" spans="2:8" s="33" customFormat="1" ht="15" customHeight="1" x14ac:dyDescent="0.25">
      <c r="B27" s="18" t="s">
        <v>207</v>
      </c>
    </row>
  </sheetData>
  <mergeCells count="2">
    <mergeCell ref="B5:H5"/>
    <mergeCell ref="B17:H1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25"/>
  <sheetViews>
    <sheetView zoomScaleNormal="100" workbookViewId="0">
      <selection activeCell="B23" sqref="B23:B25"/>
    </sheetView>
  </sheetViews>
  <sheetFormatPr defaultColWidth="8.6640625" defaultRowHeight="13.8" x14ac:dyDescent="0.25"/>
  <cols>
    <col min="1" max="1" width="2" style="34" customWidth="1"/>
    <col min="2" max="2" width="18" style="34" customWidth="1"/>
    <col min="3" max="3" width="22" style="34" customWidth="1"/>
    <col min="4" max="9" width="14" style="34" customWidth="1"/>
    <col min="10" max="16384" width="8.6640625" style="34"/>
  </cols>
  <sheetData>
    <row r="2" spans="2:9" ht="21.75" customHeight="1" x14ac:dyDescent="0.4">
      <c r="B2" s="1" t="s">
        <v>208</v>
      </c>
    </row>
    <row r="3" spans="2:9" ht="15" customHeight="1" x14ac:dyDescent="0.25">
      <c r="B3" s="98"/>
    </row>
    <row r="5" spans="2:9" ht="15" customHeight="1" x14ac:dyDescent="0.25">
      <c r="B5" s="2" t="s">
        <v>209</v>
      </c>
      <c r="C5" s="2"/>
      <c r="D5" s="2"/>
      <c r="E5" s="2"/>
      <c r="F5" s="2"/>
      <c r="G5" s="2"/>
      <c r="H5" s="2"/>
      <c r="I5" s="2"/>
    </row>
    <row r="6" spans="2:9" ht="23.25" customHeight="1" x14ac:dyDescent="0.25">
      <c r="B6" s="3" t="s">
        <v>210</v>
      </c>
      <c r="C6" s="3" t="s">
        <v>211</v>
      </c>
      <c r="D6" s="3" t="s">
        <v>212</v>
      </c>
      <c r="E6" s="3" t="s">
        <v>178</v>
      </c>
      <c r="F6" s="3" t="s">
        <v>213</v>
      </c>
      <c r="G6" s="3" t="s">
        <v>182</v>
      </c>
      <c r="H6" s="3" t="s">
        <v>214</v>
      </c>
    </row>
    <row r="7" spans="2:9" ht="15" customHeight="1" x14ac:dyDescent="0.25">
      <c r="B7" s="4" t="s">
        <v>215</v>
      </c>
      <c r="C7" s="4" t="s">
        <v>216</v>
      </c>
      <c r="D7" s="59">
        <v>2021</v>
      </c>
      <c r="E7" s="23">
        <v>27700</v>
      </c>
      <c r="F7" s="58">
        <v>26</v>
      </c>
      <c r="G7" s="58">
        <v>19.5</v>
      </c>
      <c r="H7" s="25">
        <v>0.55000000000000004</v>
      </c>
    </row>
    <row r="8" spans="2:9" ht="15" customHeight="1" x14ac:dyDescent="0.25">
      <c r="B8" s="4" t="s">
        <v>215</v>
      </c>
      <c r="C8" s="4" t="s">
        <v>217</v>
      </c>
      <c r="D8" s="59">
        <v>2019</v>
      </c>
      <c r="E8" s="23">
        <v>15700</v>
      </c>
      <c r="F8" s="58">
        <v>10.5</v>
      </c>
      <c r="G8" s="58">
        <v>9.1999999999999993</v>
      </c>
      <c r="H8" s="25">
        <v>0.42</v>
      </c>
    </row>
    <row r="9" spans="2:9" ht="15" customHeight="1" x14ac:dyDescent="0.25">
      <c r="B9" s="4" t="s">
        <v>218</v>
      </c>
      <c r="C9" s="4" t="s">
        <v>219</v>
      </c>
      <c r="D9" s="59">
        <v>2023</v>
      </c>
      <c r="E9" s="23">
        <v>10200</v>
      </c>
      <c r="F9" s="58">
        <v>5.9</v>
      </c>
      <c r="G9" s="58">
        <v>5.4</v>
      </c>
      <c r="H9" s="25">
        <v>0.34</v>
      </c>
    </row>
    <row r="10" spans="2:9" ht="15" customHeight="1" x14ac:dyDescent="0.25">
      <c r="B10" s="4" t="s">
        <v>220</v>
      </c>
      <c r="C10" s="4" t="s">
        <v>221</v>
      </c>
      <c r="D10" s="59">
        <v>2019</v>
      </c>
      <c r="E10" s="23">
        <v>8000</v>
      </c>
      <c r="F10" s="58">
        <v>20</v>
      </c>
      <c r="G10" s="58">
        <v>15.4</v>
      </c>
      <c r="H10" s="25">
        <v>0.38</v>
      </c>
    </row>
    <row r="11" spans="2:9" ht="15" customHeight="1" x14ac:dyDescent="0.25">
      <c r="B11" s="4" t="s">
        <v>222</v>
      </c>
      <c r="C11" s="4" t="s">
        <v>223</v>
      </c>
      <c r="D11" s="59">
        <v>2022</v>
      </c>
      <c r="E11" s="23">
        <v>2800</v>
      </c>
      <c r="F11" s="58">
        <v>8.4</v>
      </c>
      <c r="G11" s="58">
        <v>7.7</v>
      </c>
      <c r="H11" s="25">
        <v>0.63</v>
      </c>
    </row>
    <row r="12" spans="2:9" ht="15" customHeight="1" x14ac:dyDescent="0.25">
      <c r="B12" s="4" t="s">
        <v>215</v>
      </c>
      <c r="C12" s="4" t="s">
        <v>224</v>
      </c>
      <c r="D12" s="59">
        <v>2025</v>
      </c>
      <c r="E12" s="23">
        <v>8000</v>
      </c>
      <c r="F12" s="58">
        <v>4.7</v>
      </c>
      <c r="G12" s="58">
        <v>4.4000000000000004</v>
      </c>
      <c r="H12" s="25">
        <v>0.28000000000000003</v>
      </c>
    </row>
    <row r="13" spans="2:9" ht="15" customHeight="1" x14ac:dyDescent="0.25">
      <c r="B13" s="4" t="s">
        <v>215</v>
      </c>
      <c r="C13" s="4" t="s">
        <v>225</v>
      </c>
      <c r="D13" s="59">
        <v>2024</v>
      </c>
      <c r="E13" s="23">
        <v>1900</v>
      </c>
      <c r="F13" s="58">
        <v>6.3</v>
      </c>
      <c r="G13" s="58">
        <v>5.8</v>
      </c>
      <c r="H13" s="60" t="s">
        <v>192</v>
      </c>
    </row>
    <row r="14" spans="2:9" ht="15" customHeight="1" x14ac:dyDescent="0.25">
      <c r="B14" s="53" t="s">
        <v>226</v>
      </c>
      <c r="C14" s="54" t="s">
        <v>192</v>
      </c>
      <c r="D14" s="54" t="s">
        <v>192</v>
      </c>
      <c r="E14" s="55">
        <f>MEDIAN(E7:E13)</f>
        <v>8000</v>
      </c>
      <c r="F14" s="57">
        <f>MEDIAN(F7:F13)</f>
        <v>8.4</v>
      </c>
      <c r="G14" s="57">
        <f>MEDIAN(G7:G13)</f>
        <v>7.7</v>
      </c>
      <c r="H14" s="56">
        <f>MEDIAN(H7:H13)</f>
        <v>0.4</v>
      </c>
    </row>
    <row r="15" spans="2:9" ht="15" customHeight="1" x14ac:dyDescent="0.25">
      <c r="B15" s="13" t="s">
        <v>227</v>
      </c>
      <c r="C15" s="13" t="s">
        <v>228</v>
      </c>
      <c r="D15" s="59">
        <v>2026</v>
      </c>
      <c r="E15" s="61">
        <f>Assumptions!C14</f>
        <v>13799</v>
      </c>
      <c r="F15" s="24">
        <f>E15/Assumptions!C18</f>
        <v>4.4072181411689559</v>
      </c>
      <c r="G15" s="24">
        <f>E15/Assumptions!C19</f>
        <v>3.7244264507422402</v>
      </c>
      <c r="H15" s="62">
        <f>Assumptions!C12</f>
        <v>0.25376128385155461</v>
      </c>
    </row>
    <row r="17" spans="2:9" ht="15" customHeight="1" x14ac:dyDescent="0.25">
      <c r="B17" s="2" t="s">
        <v>229</v>
      </c>
      <c r="C17" s="2"/>
      <c r="D17" s="2"/>
      <c r="E17" s="2"/>
      <c r="F17" s="2"/>
      <c r="G17" s="2"/>
      <c r="H17" s="2"/>
      <c r="I17" s="2"/>
    </row>
    <row r="18" spans="2:9" ht="23.25" customHeight="1" x14ac:dyDescent="0.25">
      <c r="B18" s="3" t="s">
        <v>195</v>
      </c>
      <c r="C18" s="3" t="s">
        <v>196</v>
      </c>
      <c r="D18" s="3" t="s">
        <v>197</v>
      </c>
      <c r="E18" s="3" t="s">
        <v>198</v>
      </c>
      <c r="F18" s="3" t="s">
        <v>199</v>
      </c>
      <c r="G18" s="3" t="s">
        <v>200</v>
      </c>
      <c r="H18" s="3" t="s">
        <v>201</v>
      </c>
    </row>
    <row r="19" spans="2:9" ht="15" customHeight="1" x14ac:dyDescent="0.25">
      <c r="B19" s="4" t="s">
        <v>230</v>
      </c>
      <c r="C19" s="58">
        <v>5</v>
      </c>
      <c r="D19" s="58">
        <v>9</v>
      </c>
      <c r="E19" s="21">
        <f>C19*Assumptions!C19</f>
        <v>18525</v>
      </c>
      <c r="F19" s="21">
        <f>D19*Assumptions!C19</f>
        <v>33345</v>
      </c>
      <c r="G19" s="6">
        <f>(E19+Assumptions!C13)/Assumptions!C10</f>
        <v>390.31148480794957</v>
      </c>
      <c r="H19" s="6">
        <f>(F19+Assumptions!C13)/Assumptions!C10</f>
        <v>673.51423657557814</v>
      </c>
    </row>
    <row r="22" spans="2:9" s="33" customFormat="1" ht="15" customHeight="1" x14ac:dyDescent="0.25">
      <c r="B22" s="17" t="s">
        <v>168</v>
      </c>
    </row>
    <row r="23" spans="2:9" s="33" customFormat="1" ht="15" customHeight="1" x14ac:dyDescent="0.25">
      <c r="B23" s="18" t="s">
        <v>231</v>
      </c>
    </row>
    <row r="24" spans="2:9" s="33" customFormat="1" ht="15" customHeight="1" x14ac:dyDescent="0.25">
      <c r="B24" s="18" t="s">
        <v>232</v>
      </c>
    </row>
    <row r="25" spans="2:9" s="33" customFormat="1" ht="15" customHeight="1" x14ac:dyDescent="0.25">
      <c r="B25" s="18" t="s">
        <v>233</v>
      </c>
    </row>
  </sheetData>
  <mergeCells count="2">
    <mergeCell ref="B5:I5"/>
    <mergeCell ref="B17:I1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K60"/>
  <sheetViews>
    <sheetView topLeftCell="A30" zoomScaleNormal="100" workbookViewId="0">
      <selection activeCell="B44" sqref="B44:B49"/>
    </sheetView>
  </sheetViews>
  <sheetFormatPr defaultColWidth="8.6640625" defaultRowHeight="13.8" x14ac:dyDescent="0.25"/>
  <cols>
    <col min="1" max="1" width="2" style="34" customWidth="1"/>
    <col min="2" max="2" width="36" style="34" customWidth="1"/>
    <col min="3" max="11" width="13" style="34" customWidth="1"/>
    <col min="12" max="16384" width="8.6640625" style="34"/>
  </cols>
  <sheetData>
    <row r="2" spans="1:11" ht="21.75" customHeight="1" x14ac:dyDescent="0.4">
      <c r="B2" s="1" t="s">
        <v>234</v>
      </c>
    </row>
    <row r="3" spans="1:11" ht="15" customHeight="1" x14ac:dyDescent="0.25">
      <c r="B3" s="98"/>
    </row>
    <row r="5" spans="1:11" ht="15" customHeight="1" x14ac:dyDescent="0.25">
      <c r="A5" s="4"/>
      <c r="B5" s="2" t="s">
        <v>235</v>
      </c>
      <c r="C5" s="2"/>
      <c r="D5" s="2"/>
      <c r="E5" s="2"/>
      <c r="F5" s="2"/>
      <c r="G5" s="2"/>
      <c r="H5" s="2"/>
      <c r="I5" s="2"/>
      <c r="J5" s="2"/>
      <c r="K5" s="2"/>
    </row>
    <row r="6" spans="1:11" ht="15" customHeight="1" x14ac:dyDescent="0.25">
      <c r="A6" s="4"/>
      <c r="B6" s="3" t="s">
        <v>236</v>
      </c>
      <c r="C6" s="63" t="s">
        <v>152</v>
      </c>
      <c r="D6" s="63" t="s">
        <v>153</v>
      </c>
      <c r="E6" s="63" t="s">
        <v>154</v>
      </c>
      <c r="F6" s="63" t="s">
        <v>155</v>
      </c>
      <c r="G6" s="63" t="s">
        <v>156</v>
      </c>
      <c r="H6" s="63" t="s">
        <v>157</v>
      </c>
      <c r="I6" s="63" t="s">
        <v>158</v>
      </c>
      <c r="J6" s="63" t="s">
        <v>159</v>
      </c>
    </row>
    <row r="7" spans="1:11" ht="15" customHeight="1" x14ac:dyDescent="0.25">
      <c r="A7" s="4"/>
      <c r="B7" s="13" t="s">
        <v>160</v>
      </c>
      <c r="C7" s="64">
        <f>'Target Financials'!F7</f>
        <v>3705</v>
      </c>
      <c r="D7" s="64">
        <f>'Target Financials'!G7</f>
        <v>4338.5550000000003</v>
      </c>
      <c r="E7" s="64">
        <f>'Target Financials'!H7</f>
        <v>5028.3852450000004</v>
      </c>
      <c r="F7" s="64">
        <f>'Target Financials'!I7</f>
        <v>5732.3591793000014</v>
      </c>
      <c r="G7" s="64">
        <f>'Target Financials'!J7</f>
        <v>6420.2422808160018</v>
      </c>
      <c r="H7" s="64">
        <f>'Target Financials'!K7</f>
        <v>7062.2665088976028</v>
      </c>
      <c r="I7" s="64">
        <f>'Target Financials'!L7</f>
        <v>7627.2478296094114</v>
      </c>
      <c r="J7" s="64">
        <f>'Target Financials'!M7</f>
        <v>8084.8826993859766</v>
      </c>
    </row>
    <row r="8" spans="1:11" ht="15" customHeight="1" x14ac:dyDescent="0.25">
      <c r="A8" s="4"/>
      <c r="B8" s="7" t="s">
        <v>237</v>
      </c>
      <c r="C8" s="4"/>
      <c r="D8" s="49">
        <f t="shared" ref="D8:J8" si="0">D7/C7-1</f>
        <v>0.17100000000000004</v>
      </c>
      <c r="E8" s="49">
        <f t="shared" si="0"/>
        <v>0.15900000000000003</v>
      </c>
      <c r="F8" s="49">
        <f t="shared" si="0"/>
        <v>0.14000000000000012</v>
      </c>
      <c r="G8" s="49">
        <f t="shared" si="0"/>
        <v>0.12000000000000011</v>
      </c>
      <c r="H8" s="49">
        <f t="shared" si="0"/>
        <v>0.10000000000000009</v>
      </c>
      <c r="I8" s="49">
        <f t="shared" si="0"/>
        <v>8.0000000000000071E-2</v>
      </c>
      <c r="J8" s="49">
        <f t="shared" si="0"/>
        <v>6.0000000000000053E-2</v>
      </c>
    </row>
    <row r="9" spans="1:11" ht="15" customHeight="1" x14ac:dyDescent="0.25">
      <c r="A9" s="4"/>
      <c r="B9" s="4" t="s">
        <v>238</v>
      </c>
      <c r="C9" s="65">
        <f>'Target Financials'!F11</f>
        <v>0.2</v>
      </c>
      <c r="D9" s="65">
        <f>'Target Financials'!G11</f>
        <v>0.21</v>
      </c>
      <c r="E9" s="65">
        <f>'Target Financials'!H11</f>
        <v>0.22</v>
      </c>
      <c r="F9" s="65">
        <f>'Target Financials'!I11</f>
        <v>0.23</v>
      </c>
      <c r="G9" s="65">
        <f>'Target Financials'!J11</f>
        <v>0.24</v>
      </c>
      <c r="H9" s="65">
        <f>'Target Financials'!K11</f>
        <v>0.25</v>
      </c>
      <c r="I9" s="65">
        <f>'Target Financials'!L11</f>
        <v>0.26</v>
      </c>
      <c r="J9" s="65">
        <f>'Target Financials'!M11</f>
        <v>0.27</v>
      </c>
    </row>
    <row r="10" spans="1:11" ht="15" customHeight="1" x14ac:dyDescent="0.25">
      <c r="A10" s="4"/>
      <c r="B10" s="13" t="s">
        <v>239</v>
      </c>
      <c r="C10" s="66">
        <f t="shared" ref="C10:J10" si="1">C7*C9</f>
        <v>741</v>
      </c>
      <c r="D10" s="66">
        <f t="shared" si="1"/>
        <v>911.09654999999998</v>
      </c>
      <c r="E10" s="66">
        <f t="shared" si="1"/>
        <v>1106.2447539000002</v>
      </c>
      <c r="F10" s="66">
        <f t="shared" si="1"/>
        <v>1318.4426112390004</v>
      </c>
      <c r="G10" s="66">
        <f t="shared" si="1"/>
        <v>1540.8581473958404</v>
      </c>
      <c r="H10" s="66">
        <f t="shared" si="1"/>
        <v>1765.5666272244007</v>
      </c>
      <c r="I10" s="66">
        <f t="shared" si="1"/>
        <v>1983.0844356984471</v>
      </c>
      <c r="J10" s="66">
        <f t="shared" si="1"/>
        <v>2182.9183288342138</v>
      </c>
    </row>
    <row r="11" spans="1:11" ht="15" customHeight="1" x14ac:dyDescent="0.25">
      <c r="A11" s="4"/>
      <c r="B11" s="7" t="s">
        <v>240</v>
      </c>
      <c r="C11" s="49">
        <f>Assumptions!$C$64+(Assumptions!$C$65-Assumptions!$C$64)*0/7</f>
        <v>0.13</v>
      </c>
      <c r="D11" s="49">
        <f>Assumptions!$C$64+(Assumptions!$C$65-Assumptions!$C$64)*1/7</f>
        <v>0.12285714285714286</v>
      </c>
      <c r="E11" s="49">
        <f>Assumptions!$C$64+(Assumptions!$C$65-Assumptions!$C$64)*2/7</f>
        <v>0.11571428571428571</v>
      </c>
      <c r="F11" s="49">
        <f>Assumptions!$C$64+(Assumptions!$C$65-Assumptions!$C$64)*3/7</f>
        <v>0.10857142857142857</v>
      </c>
      <c r="G11" s="49">
        <f>Assumptions!$C$64+(Assumptions!$C$65-Assumptions!$C$64)*4/7</f>
        <v>0.10142857142857142</v>
      </c>
      <c r="H11" s="49">
        <f>Assumptions!$C$64+(Assumptions!$C$65-Assumptions!$C$64)*5/7</f>
        <v>9.4285714285714292E-2</v>
      </c>
      <c r="I11" s="49">
        <f>Assumptions!$C$64+(Assumptions!$C$65-Assumptions!$C$64)*6/7</f>
        <v>8.7142857142857133E-2</v>
      </c>
      <c r="J11" s="49">
        <f>Assumptions!$C$64+(Assumptions!$C$65-Assumptions!$C$64)*7/7</f>
        <v>0.08</v>
      </c>
    </row>
    <row r="12" spans="1:11" ht="15" customHeight="1" x14ac:dyDescent="0.25">
      <c r="A12" s="4"/>
      <c r="B12" s="4" t="s">
        <v>241</v>
      </c>
      <c r="C12" s="66">
        <f t="shared" ref="C12:J12" si="2">-C7*C11</f>
        <v>-481.65000000000003</v>
      </c>
      <c r="D12" s="66">
        <f t="shared" si="2"/>
        <v>-533.02247142857152</v>
      </c>
      <c r="E12" s="66">
        <f t="shared" si="2"/>
        <v>-581.85600692142862</v>
      </c>
      <c r="F12" s="66">
        <f t="shared" si="2"/>
        <v>-622.37042518114299</v>
      </c>
      <c r="G12" s="66">
        <f t="shared" si="2"/>
        <v>-651.19600276848018</v>
      </c>
      <c r="H12" s="66">
        <f t="shared" si="2"/>
        <v>-665.87084226748834</v>
      </c>
      <c r="I12" s="66">
        <f t="shared" si="2"/>
        <v>-664.66016800882005</v>
      </c>
      <c r="J12" s="66">
        <f t="shared" si="2"/>
        <v>-646.79061595087819</v>
      </c>
    </row>
    <row r="13" spans="1:11" ht="15" customHeight="1" x14ac:dyDescent="0.25">
      <c r="A13" s="4"/>
      <c r="B13" s="13" t="s">
        <v>242</v>
      </c>
      <c r="C13" s="67">
        <f t="shared" ref="C13:J13" si="3">C10+C12</f>
        <v>259.34999999999997</v>
      </c>
      <c r="D13" s="67">
        <f t="shared" si="3"/>
        <v>378.07407857142846</v>
      </c>
      <c r="E13" s="67">
        <f t="shared" si="3"/>
        <v>524.38874697857159</v>
      </c>
      <c r="F13" s="67">
        <f t="shared" si="3"/>
        <v>696.07218605785738</v>
      </c>
      <c r="G13" s="67">
        <f t="shared" si="3"/>
        <v>889.66214462736025</v>
      </c>
      <c r="H13" s="67">
        <f t="shared" si="3"/>
        <v>1099.6957849569123</v>
      </c>
      <c r="I13" s="67">
        <f t="shared" si="3"/>
        <v>1318.424267689627</v>
      </c>
      <c r="J13" s="67">
        <f t="shared" si="3"/>
        <v>1536.1277128833356</v>
      </c>
    </row>
    <row r="14" spans="1:11" ht="15" customHeight="1" x14ac:dyDescent="0.25">
      <c r="A14" s="4"/>
      <c r="B14" s="4" t="s">
        <v>243</v>
      </c>
      <c r="C14" s="66">
        <f>-C13*Assumptions!$C$43</f>
        <v>-54.463499999999989</v>
      </c>
      <c r="D14" s="66">
        <f>-D13*Assumptions!$C$43</f>
        <v>-79.395556499999969</v>
      </c>
      <c r="E14" s="66">
        <f>-E13*Assumptions!$C$43</f>
        <v>-110.12163686550004</v>
      </c>
      <c r="F14" s="66">
        <f>-F13*Assumptions!$C$43</f>
        <v>-146.17515907215005</v>
      </c>
      <c r="G14" s="66">
        <f>-G13*Assumptions!$C$43</f>
        <v>-186.82905037174564</v>
      </c>
      <c r="H14" s="66">
        <f>-H13*Assumptions!$C$43</f>
        <v>-230.93611484095157</v>
      </c>
      <c r="I14" s="66">
        <f>-I13*Assumptions!$C$43</f>
        <v>-276.86909621482164</v>
      </c>
      <c r="J14" s="66">
        <f>-J13*Assumptions!$C$43</f>
        <v>-322.58681970550043</v>
      </c>
    </row>
    <row r="15" spans="1:11" ht="15" customHeight="1" x14ac:dyDescent="0.25">
      <c r="A15" s="4"/>
      <c r="B15" s="13" t="s">
        <v>244</v>
      </c>
      <c r="C15" s="67">
        <f t="shared" ref="C15:J15" si="4">C13+C14</f>
        <v>204.88649999999998</v>
      </c>
      <c r="D15" s="67">
        <f t="shared" si="4"/>
        <v>298.67852207142846</v>
      </c>
      <c r="E15" s="67">
        <f t="shared" si="4"/>
        <v>414.26711011307157</v>
      </c>
      <c r="F15" s="67">
        <f t="shared" si="4"/>
        <v>549.89702698570727</v>
      </c>
      <c r="G15" s="67">
        <f t="shared" si="4"/>
        <v>702.83309425561458</v>
      </c>
      <c r="H15" s="67">
        <f t="shared" si="4"/>
        <v>868.75967011596072</v>
      </c>
      <c r="I15" s="67">
        <f t="shared" si="4"/>
        <v>1041.5551714748053</v>
      </c>
      <c r="J15" s="67">
        <f t="shared" si="4"/>
        <v>1213.5408931778352</v>
      </c>
    </row>
    <row r="16" spans="1:11" ht="15" customHeight="1" x14ac:dyDescent="0.25">
      <c r="A16" s="4"/>
      <c r="B16" s="4" t="s">
        <v>245</v>
      </c>
      <c r="C16" s="66">
        <f>C7*Assumptions!$C$49</f>
        <v>111.14999999999999</v>
      </c>
      <c r="D16" s="66">
        <f>D7*Assumptions!$C$49</f>
        <v>130.15665000000001</v>
      </c>
      <c r="E16" s="66">
        <f>E7*Assumptions!$C$49</f>
        <v>150.85155735000001</v>
      </c>
      <c r="F16" s="66">
        <f>F7*Assumptions!$C$49</f>
        <v>171.97077537900003</v>
      </c>
      <c r="G16" s="66">
        <f>G7*Assumptions!$C$49</f>
        <v>192.60726842448005</v>
      </c>
      <c r="H16" s="66">
        <f>H7*Assumptions!$C$49</f>
        <v>211.86799526692806</v>
      </c>
      <c r="I16" s="66">
        <f>I7*Assumptions!$C$49</f>
        <v>228.81743488828232</v>
      </c>
      <c r="J16" s="66">
        <f>J7*Assumptions!$C$49</f>
        <v>242.54648098157929</v>
      </c>
    </row>
    <row r="17" spans="1:11" ht="15" customHeight="1" x14ac:dyDescent="0.25">
      <c r="A17" s="4"/>
      <c r="B17" s="4" t="s">
        <v>246</v>
      </c>
      <c r="C17" s="66">
        <f>-C7*Assumptions!$C$50</f>
        <v>-111.14999999999999</v>
      </c>
      <c r="D17" s="66">
        <f>-D7*Assumptions!$C$50</f>
        <v>-130.15665000000001</v>
      </c>
      <c r="E17" s="66">
        <f>-E7*Assumptions!$C$50</f>
        <v>-150.85155735000001</v>
      </c>
      <c r="F17" s="66">
        <f>-F7*Assumptions!$C$50</f>
        <v>-171.97077537900003</v>
      </c>
      <c r="G17" s="66">
        <f>-G7*Assumptions!$C$50</f>
        <v>-192.60726842448005</v>
      </c>
      <c r="H17" s="66">
        <f>-H7*Assumptions!$C$50</f>
        <v>-211.86799526692806</v>
      </c>
      <c r="I17" s="66">
        <f>-I7*Assumptions!$C$50</f>
        <v>-228.81743488828232</v>
      </c>
      <c r="J17" s="66">
        <f>-J7*Assumptions!$C$50</f>
        <v>-242.54648098157929</v>
      </c>
    </row>
    <row r="18" spans="1:11" ht="15" customHeight="1" x14ac:dyDescent="0.25">
      <c r="A18" s="4"/>
      <c r="B18" s="7" t="s">
        <v>247</v>
      </c>
      <c r="C18" s="66">
        <f>C7*Assumptions!$C$72</f>
        <v>-1111.5</v>
      </c>
      <c r="D18" s="66">
        <f>D7*Assumptions!$C$72</f>
        <v>-1301.5665000000001</v>
      </c>
      <c r="E18" s="66">
        <f>E7*Assumptions!$C$72</f>
        <v>-1508.5155735000001</v>
      </c>
      <c r="F18" s="66">
        <f>F7*Assumptions!$C$72</f>
        <v>-1719.7077537900004</v>
      </c>
      <c r="G18" s="66">
        <f>G7*Assumptions!$C$72</f>
        <v>-1926.0726842448005</v>
      </c>
      <c r="H18" s="66">
        <f>H7*Assumptions!$C$72</f>
        <v>-2118.6799526692807</v>
      </c>
      <c r="I18" s="66">
        <f>I7*Assumptions!$C$72</f>
        <v>-2288.1743488828233</v>
      </c>
      <c r="J18" s="66">
        <f>J7*Assumptions!$C$72</f>
        <v>-2425.4648098157927</v>
      </c>
    </row>
    <row r="19" spans="1:11" ht="15" customHeight="1" x14ac:dyDescent="0.25">
      <c r="A19" s="4"/>
      <c r="B19" s="4" t="s">
        <v>248</v>
      </c>
      <c r="C19" s="66">
        <f>-(C7-'Target Financials'!E7)*Assumptions!$C$72</f>
        <v>172.2</v>
      </c>
      <c r="D19" s="66">
        <f t="shared" ref="D19:J19" si="5">-(D18-C18)</f>
        <v>190.06650000000013</v>
      </c>
      <c r="E19" s="66">
        <f t="shared" si="5"/>
        <v>206.94907349999994</v>
      </c>
      <c r="F19" s="66">
        <f t="shared" si="5"/>
        <v>211.19218029000035</v>
      </c>
      <c r="G19" s="66">
        <f t="shared" si="5"/>
        <v>206.36493045480006</v>
      </c>
      <c r="H19" s="66">
        <f t="shared" si="5"/>
        <v>192.60726842448025</v>
      </c>
      <c r="I19" s="66">
        <f t="shared" si="5"/>
        <v>169.49439621354259</v>
      </c>
      <c r="J19" s="66">
        <f t="shared" si="5"/>
        <v>137.29046093296938</v>
      </c>
    </row>
    <row r="20" spans="1:11" ht="15" customHeight="1" x14ac:dyDescent="0.25">
      <c r="A20" s="4"/>
      <c r="B20" s="13" t="s">
        <v>249</v>
      </c>
      <c r="C20" s="67">
        <f t="shared" ref="C20:J20" si="6">C15+C16+C17+C19</f>
        <v>377.0865</v>
      </c>
      <c r="D20" s="67">
        <f t="shared" si="6"/>
        <v>488.74502207142859</v>
      </c>
      <c r="E20" s="67">
        <f t="shared" si="6"/>
        <v>621.21618361307151</v>
      </c>
      <c r="F20" s="67">
        <f t="shared" si="6"/>
        <v>761.08920727570762</v>
      </c>
      <c r="G20" s="67">
        <f t="shared" si="6"/>
        <v>909.19802471041464</v>
      </c>
      <c r="H20" s="67">
        <f t="shared" si="6"/>
        <v>1061.366938540441</v>
      </c>
      <c r="I20" s="67">
        <f t="shared" si="6"/>
        <v>1211.0495676883479</v>
      </c>
      <c r="J20" s="67">
        <f t="shared" si="6"/>
        <v>1350.8313541108046</v>
      </c>
    </row>
    <row r="21" spans="1:11" ht="15" customHeight="1" x14ac:dyDescent="0.25">
      <c r="A21" s="4"/>
      <c r="B21" s="7" t="s">
        <v>250</v>
      </c>
      <c r="C21" s="68">
        <v>1</v>
      </c>
      <c r="D21" s="68">
        <v>2</v>
      </c>
      <c r="E21" s="68">
        <v>3</v>
      </c>
      <c r="F21" s="68">
        <v>4</v>
      </c>
      <c r="G21" s="68">
        <v>5</v>
      </c>
      <c r="H21" s="68">
        <v>6</v>
      </c>
      <c r="I21" s="68">
        <v>7</v>
      </c>
      <c r="J21" s="68">
        <v>8</v>
      </c>
    </row>
    <row r="22" spans="1:11" ht="15" customHeight="1" x14ac:dyDescent="0.25">
      <c r="A22" s="4"/>
      <c r="B22" s="7" t="s">
        <v>251</v>
      </c>
      <c r="C22" s="69">
        <f>1/(1+Assumptions!$C$47)^C21</f>
        <v>0.90877779383285218</v>
      </c>
      <c r="D22" s="69">
        <f>1/(1+Assumptions!$C$47)^D21</f>
        <v>0.82587707856370585</v>
      </c>
      <c r="E22" s="69">
        <f>1/(1+Assumptions!$C$47)^E21</f>
        <v>0.7505387494342457</v>
      </c>
      <c r="F22" s="69">
        <f>1/(1+Assumptions!$C$47)^F21</f>
        <v>0.6820729488969216</v>
      </c>
      <c r="G22" s="69">
        <f>1/(1+Assumptions!$C$47)^G21</f>
        <v>0.61985274973161208</v>
      </c>
      <c r="H22" s="69">
        <f>1/(1+Assumptions!$C$47)^H21</f>
        <v>0.56330841440232138</v>
      </c>
      <c r="I22" s="69">
        <f>1/(1+Assumptions!$C$47)^I21</f>
        <v>0.51192217808802376</v>
      </c>
      <c r="J22" s="69">
        <f>1/(1+Assumptions!$C$47)^J21</f>
        <v>0.46522350761694264</v>
      </c>
    </row>
    <row r="23" spans="1:11" ht="15" customHeight="1" x14ac:dyDescent="0.25">
      <c r="A23" s="4"/>
      <c r="B23" s="13" t="s">
        <v>252</v>
      </c>
      <c r="C23" s="66">
        <f t="shared" ref="C23:J23" si="7">C20*C22</f>
        <v>342.68783755415183</v>
      </c>
      <c r="D23" s="66">
        <f t="shared" si="7"/>
        <v>403.64331099090538</v>
      </c>
      <c r="E23" s="66">
        <f t="shared" si="7"/>
        <v>466.24681757726944</v>
      </c>
      <c r="F23" s="66">
        <f t="shared" si="7"/>
        <v>519.11835998016227</v>
      </c>
      <c r="G23" s="66">
        <f t="shared" si="7"/>
        <v>563.56889566730069</v>
      </c>
      <c r="H23" s="66">
        <f t="shared" si="7"/>
        <v>597.87692724826184</v>
      </c>
      <c r="I23" s="66">
        <f t="shared" si="7"/>
        <v>619.96313246357863</v>
      </c>
      <c r="J23" s="66">
        <f t="shared" si="7"/>
        <v>628.43850075837281</v>
      </c>
    </row>
    <row r="24" spans="1:11" ht="15" customHeight="1" x14ac:dyDescent="0.25">
      <c r="A24" s="4"/>
      <c r="B24" s="4"/>
      <c r="C24" s="70"/>
      <c r="D24" s="4"/>
      <c r="E24" s="4"/>
      <c r="F24" s="4"/>
      <c r="G24" s="4"/>
      <c r="H24" s="4"/>
      <c r="I24" s="4"/>
      <c r="J24" s="4"/>
    </row>
    <row r="25" spans="1:11" ht="15" customHeight="1" x14ac:dyDescent="0.25">
      <c r="A25" s="4"/>
      <c r="B25" s="4"/>
      <c r="C25" s="70"/>
      <c r="D25" s="4"/>
      <c r="E25" s="4"/>
      <c r="F25" s="4"/>
      <c r="G25" s="4"/>
      <c r="H25" s="4"/>
      <c r="I25" s="4"/>
      <c r="J25" s="4"/>
    </row>
    <row r="26" spans="1:11" ht="15" customHeight="1" x14ac:dyDescent="0.25">
      <c r="A26" s="4"/>
      <c r="B26" s="2" t="s">
        <v>253</v>
      </c>
      <c r="C26" s="2"/>
      <c r="D26" s="2"/>
      <c r="E26" s="2"/>
      <c r="F26" s="2"/>
      <c r="G26" s="2"/>
      <c r="H26" s="2"/>
      <c r="I26" s="2"/>
      <c r="J26" s="2"/>
      <c r="K26" s="2"/>
    </row>
    <row r="27" spans="1:11" ht="15" customHeight="1" x14ac:dyDescent="0.25">
      <c r="A27" s="4"/>
      <c r="B27" s="4"/>
      <c r="C27" s="70"/>
      <c r="D27" s="4"/>
      <c r="E27" s="4"/>
      <c r="F27" s="4"/>
      <c r="G27" s="4"/>
      <c r="H27" s="4"/>
      <c r="I27" s="4"/>
      <c r="J27" s="4"/>
    </row>
    <row r="28" spans="1:11" ht="15" customHeight="1" x14ac:dyDescent="0.25">
      <c r="A28" s="4"/>
      <c r="B28" s="13" t="s">
        <v>254</v>
      </c>
      <c r="C28" s="67">
        <f>SUM(C23:J23)</f>
        <v>4141.5437822400036</v>
      </c>
      <c r="D28" s="4"/>
      <c r="E28" s="4"/>
      <c r="F28" s="4"/>
      <c r="G28" s="4"/>
      <c r="H28" s="4"/>
      <c r="I28" s="4"/>
      <c r="J28" s="4"/>
    </row>
    <row r="29" spans="1:11" ht="15" customHeight="1" x14ac:dyDescent="0.25">
      <c r="A29" s="4"/>
      <c r="B29" s="4" t="s">
        <v>255</v>
      </c>
      <c r="C29" s="66">
        <f>J20</f>
        <v>1350.8313541108046</v>
      </c>
      <c r="D29" s="4"/>
      <c r="E29" s="4"/>
      <c r="F29" s="4"/>
      <c r="G29" s="4"/>
      <c r="H29" s="4"/>
      <c r="I29" s="4"/>
      <c r="J29" s="4"/>
    </row>
    <row r="30" spans="1:11" ht="15" customHeight="1" x14ac:dyDescent="0.25">
      <c r="A30" s="4"/>
      <c r="B30" s="4" t="s">
        <v>256</v>
      </c>
      <c r="C30" s="65">
        <f>Assumptions!C48</f>
        <v>0.04</v>
      </c>
      <c r="D30" s="4"/>
      <c r="E30" s="4"/>
      <c r="F30" s="4"/>
      <c r="G30" s="4"/>
      <c r="H30" s="4"/>
      <c r="I30" s="4"/>
      <c r="J30" s="4"/>
    </row>
    <row r="31" spans="1:11" ht="15" customHeight="1" x14ac:dyDescent="0.25">
      <c r="A31" s="4"/>
      <c r="B31" s="4" t="s">
        <v>106</v>
      </c>
      <c r="C31" s="65">
        <f>Assumptions!C47</f>
        <v>0.10037900000000001</v>
      </c>
      <c r="D31" s="4"/>
      <c r="E31" s="4"/>
      <c r="F31" s="4"/>
      <c r="G31" s="4"/>
      <c r="H31" s="4"/>
      <c r="I31" s="4"/>
      <c r="J31" s="4"/>
    </row>
    <row r="32" spans="1:11" ht="15" customHeight="1" x14ac:dyDescent="0.25">
      <c r="A32" s="4"/>
      <c r="B32" s="13" t="s">
        <v>257</v>
      </c>
      <c r="C32" s="67">
        <f>J20*(1+C30)/(C31-C30)</f>
        <v>23267.437491101817</v>
      </c>
      <c r="D32" s="4"/>
      <c r="E32" s="4"/>
      <c r="F32" s="4"/>
      <c r="G32" s="4"/>
      <c r="H32" s="4"/>
      <c r="I32" s="4"/>
      <c r="J32" s="4"/>
    </row>
    <row r="33" spans="1:10" ht="15" customHeight="1" x14ac:dyDescent="0.25">
      <c r="A33" s="4"/>
      <c r="B33" s="13" t="s">
        <v>258</v>
      </c>
      <c r="C33" s="67">
        <f>C32*J22</f>
        <v>10824.558882868343</v>
      </c>
      <c r="D33" s="4"/>
      <c r="E33" s="4"/>
      <c r="F33" s="4"/>
      <c r="G33" s="4"/>
      <c r="H33" s="4"/>
      <c r="I33" s="4"/>
      <c r="J33" s="4"/>
    </row>
    <row r="34" spans="1:10" ht="15" customHeight="1" x14ac:dyDescent="0.25">
      <c r="A34" s="4"/>
      <c r="B34" s="13" t="s">
        <v>57</v>
      </c>
      <c r="C34" s="67">
        <f>C28+C33</f>
        <v>14966.102665108347</v>
      </c>
      <c r="D34" s="4"/>
      <c r="E34" s="4"/>
      <c r="F34" s="4"/>
      <c r="G34" s="4"/>
      <c r="H34" s="4"/>
      <c r="I34" s="4"/>
      <c r="J34" s="4"/>
    </row>
    <row r="35" spans="1:10" ht="15" customHeight="1" x14ac:dyDescent="0.25">
      <c r="A35" s="4"/>
      <c r="B35" s="4" t="s">
        <v>259</v>
      </c>
      <c r="C35" s="64">
        <f>Assumptions!C13</f>
        <v>1900</v>
      </c>
      <c r="D35" s="4"/>
      <c r="E35" s="4"/>
      <c r="F35" s="4"/>
      <c r="G35" s="4"/>
      <c r="H35" s="4"/>
      <c r="I35" s="4"/>
      <c r="J35" s="4"/>
    </row>
    <row r="36" spans="1:10" ht="15" customHeight="1" x14ac:dyDescent="0.25">
      <c r="A36" s="4"/>
      <c r="B36" s="13" t="s">
        <v>51</v>
      </c>
      <c r="C36" s="67">
        <f>C34+C35</f>
        <v>16866.102665108345</v>
      </c>
      <c r="D36" s="4"/>
      <c r="E36" s="4"/>
      <c r="F36" s="4"/>
      <c r="G36" s="4"/>
      <c r="H36" s="4"/>
      <c r="I36" s="4"/>
      <c r="J36" s="4"/>
    </row>
    <row r="37" spans="1:10" ht="15" customHeight="1" x14ac:dyDescent="0.25">
      <c r="A37" s="4"/>
      <c r="B37" s="4" t="s">
        <v>260</v>
      </c>
      <c r="C37" s="71">
        <f>Assumptions!C10</f>
        <v>52.33</v>
      </c>
      <c r="D37" s="4"/>
      <c r="E37" s="4"/>
      <c r="F37" s="4"/>
      <c r="G37" s="4"/>
      <c r="H37" s="4"/>
      <c r="I37" s="4"/>
      <c r="J37" s="4"/>
    </row>
    <row r="38" spans="1:10" ht="15" customHeight="1" x14ac:dyDescent="0.25">
      <c r="A38" s="4"/>
      <c r="B38" s="13" t="s">
        <v>261</v>
      </c>
      <c r="C38" s="72">
        <f>C36/C37</f>
        <v>322.30274536801733</v>
      </c>
      <c r="D38" s="4"/>
      <c r="E38" s="4"/>
      <c r="F38" s="4"/>
      <c r="G38" s="4"/>
      <c r="H38" s="4"/>
      <c r="I38" s="4"/>
      <c r="J38" s="4"/>
    </row>
    <row r="39" spans="1:10" ht="15" customHeight="1" x14ac:dyDescent="0.25">
      <c r="A39" s="4"/>
      <c r="B39" s="4" t="s">
        <v>262</v>
      </c>
      <c r="C39" s="73">
        <f>Assumptions!C8</f>
        <v>300</v>
      </c>
      <c r="D39" s="4"/>
      <c r="E39" s="4"/>
      <c r="F39" s="4"/>
      <c r="G39" s="4"/>
      <c r="H39" s="4"/>
      <c r="I39" s="4"/>
      <c r="J39" s="4"/>
    </row>
    <row r="40" spans="1:10" ht="15" customHeight="1" x14ac:dyDescent="0.25">
      <c r="A40" s="4"/>
      <c r="B40" s="13" t="s">
        <v>263</v>
      </c>
      <c r="C40" s="74">
        <f>C39/C38-1</f>
        <v>-6.9198124088428736E-2</v>
      </c>
      <c r="D40" s="4"/>
      <c r="E40" s="4"/>
      <c r="F40" s="4"/>
      <c r="G40" s="4"/>
      <c r="H40" s="4"/>
      <c r="I40" s="4"/>
      <c r="J40" s="4"/>
    </row>
    <row r="41" spans="1:10" ht="15" customHeight="1" x14ac:dyDescent="0.25">
      <c r="A41" s="4"/>
      <c r="B41" s="4"/>
      <c r="C41" s="4"/>
      <c r="D41" s="4"/>
      <c r="E41" s="4"/>
      <c r="F41" s="4"/>
      <c r="G41" s="4"/>
      <c r="H41" s="4"/>
      <c r="I41" s="4"/>
      <c r="J41" s="4"/>
    </row>
    <row r="42" spans="1:10" ht="15" customHeight="1" x14ac:dyDescent="0.25">
      <c r="A42" s="4"/>
      <c r="B42" s="4"/>
      <c r="C42" s="4"/>
      <c r="D42" s="4"/>
      <c r="E42" s="4"/>
      <c r="F42" s="4"/>
      <c r="G42" s="4"/>
      <c r="H42" s="4"/>
      <c r="I42" s="4"/>
      <c r="J42" s="4"/>
    </row>
    <row r="43" spans="1:10" ht="15" customHeight="1" x14ac:dyDescent="0.25">
      <c r="A43" s="4"/>
      <c r="B43" s="13" t="s">
        <v>264</v>
      </c>
      <c r="C43" s="4"/>
      <c r="D43" s="4"/>
      <c r="E43" s="4"/>
      <c r="F43" s="4"/>
      <c r="G43" s="4"/>
      <c r="H43" s="4"/>
      <c r="I43" s="4"/>
      <c r="J43" s="4"/>
    </row>
    <row r="44" spans="1:10" ht="15" customHeight="1" x14ac:dyDescent="0.25">
      <c r="A44" s="4"/>
      <c r="B44" s="18" t="s">
        <v>265</v>
      </c>
      <c r="C44" s="4"/>
      <c r="D44" s="4"/>
      <c r="E44" s="4"/>
      <c r="F44" s="4"/>
      <c r="G44" s="4"/>
      <c r="H44" s="4"/>
      <c r="I44" s="4"/>
      <c r="J44" s="4"/>
    </row>
    <row r="45" spans="1:10" ht="15" customHeight="1" x14ac:dyDescent="0.25">
      <c r="A45" s="4"/>
      <c r="B45" s="18" t="s">
        <v>266</v>
      </c>
      <c r="C45" s="4"/>
      <c r="D45" s="4"/>
      <c r="E45" s="4"/>
      <c r="F45" s="4"/>
      <c r="G45" s="4"/>
      <c r="H45" s="4"/>
      <c r="I45" s="4"/>
      <c r="J45" s="4"/>
    </row>
    <row r="46" spans="1:10" ht="15" customHeight="1" x14ac:dyDescent="0.25">
      <c r="A46" s="4"/>
      <c r="B46" s="18" t="s">
        <v>267</v>
      </c>
      <c r="C46" s="4"/>
      <c r="D46" s="4"/>
      <c r="E46" s="4"/>
      <c r="F46" s="4"/>
      <c r="G46" s="4"/>
      <c r="H46" s="4"/>
      <c r="I46" s="4"/>
      <c r="J46" s="4"/>
    </row>
    <row r="47" spans="1:10" ht="15" customHeight="1" x14ac:dyDescent="0.25">
      <c r="A47" s="4"/>
      <c r="B47" s="18" t="s">
        <v>268</v>
      </c>
      <c r="C47" s="4"/>
      <c r="D47" s="4"/>
      <c r="E47" s="4"/>
      <c r="F47" s="4"/>
      <c r="G47" s="4"/>
      <c r="H47" s="4"/>
      <c r="I47" s="4"/>
      <c r="J47" s="4"/>
    </row>
    <row r="48" spans="1:10" ht="15" customHeight="1" x14ac:dyDescent="0.25">
      <c r="A48" s="4"/>
      <c r="B48" s="18" t="s">
        <v>269</v>
      </c>
      <c r="C48" s="4"/>
      <c r="D48" s="4"/>
      <c r="E48" s="4"/>
      <c r="F48" s="4"/>
      <c r="G48" s="4"/>
      <c r="H48" s="4"/>
      <c r="I48" s="4"/>
      <c r="J48" s="4"/>
    </row>
    <row r="49" spans="1:10" ht="15" customHeight="1" x14ac:dyDescent="0.25">
      <c r="A49" s="4"/>
      <c r="B49" s="18" t="s">
        <v>270</v>
      </c>
      <c r="C49" s="4"/>
      <c r="D49" s="4"/>
      <c r="E49" s="4"/>
      <c r="F49" s="4"/>
      <c r="G49" s="4"/>
      <c r="H49" s="4"/>
      <c r="I49" s="4"/>
      <c r="J49" s="4"/>
    </row>
    <row r="50" spans="1:10" ht="15" customHeight="1" x14ac:dyDescent="0.25">
      <c r="A50" s="4"/>
      <c r="B50" s="4"/>
      <c r="C50" s="4"/>
      <c r="D50" s="4"/>
      <c r="E50" s="4"/>
      <c r="F50" s="4"/>
      <c r="G50" s="4"/>
      <c r="H50" s="4"/>
      <c r="I50" s="4"/>
      <c r="J50" s="4"/>
    </row>
    <row r="51" spans="1:10" ht="15" customHeight="1" x14ac:dyDescent="0.25">
      <c r="A51" s="4"/>
      <c r="B51" s="4"/>
      <c r="C51" s="4"/>
      <c r="D51" s="4"/>
      <c r="E51" s="4"/>
      <c r="F51" s="4"/>
      <c r="G51" s="4"/>
      <c r="H51" s="4"/>
      <c r="I51" s="4"/>
      <c r="J51" s="4"/>
    </row>
    <row r="52" spans="1:10" ht="15" customHeight="1" x14ac:dyDescent="0.25">
      <c r="A52" s="4"/>
      <c r="B52" s="4"/>
      <c r="C52" s="4"/>
      <c r="D52" s="4"/>
      <c r="E52" s="4"/>
      <c r="F52" s="4"/>
      <c r="G52" s="4"/>
      <c r="H52" s="4"/>
      <c r="I52" s="4"/>
      <c r="J52" s="4"/>
    </row>
    <row r="53" spans="1:10" ht="15" customHeight="1" x14ac:dyDescent="0.25">
      <c r="A53" s="4"/>
      <c r="B53" s="4"/>
      <c r="C53" s="4"/>
      <c r="D53" s="4"/>
      <c r="E53" s="4"/>
      <c r="F53" s="4"/>
      <c r="G53" s="4"/>
      <c r="H53" s="4"/>
      <c r="I53" s="4"/>
      <c r="J53" s="4"/>
    </row>
    <row r="54" spans="1:10" ht="15" customHeight="1" x14ac:dyDescent="0.25">
      <c r="A54" s="4"/>
      <c r="B54" s="4"/>
      <c r="C54" s="4"/>
      <c r="D54" s="4"/>
      <c r="E54" s="4"/>
      <c r="F54" s="4"/>
      <c r="G54" s="4"/>
      <c r="H54" s="4"/>
      <c r="I54" s="4"/>
      <c r="J54" s="4"/>
    </row>
    <row r="55" spans="1:10" ht="15" customHeight="1" x14ac:dyDescent="0.25">
      <c r="A55" s="4"/>
      <c r="B55" s="4"/>
      <c r="C55" s="4"/>
      <c r="D55" s="4"/>
      <c r="E55" s="4"/>
      <c r="F55" s="4"/>
      <c r="G55" s="4"/>
      <c r="H55" s="4"/>
      <c r="I55" s="4"/>
      <c r="J55" s="4"/>
    </row>
    <row r="56" spans="1:10" ht="15" customHeight="1" x14ac:dyDescent="0.25">
      <c r="A56" s="4"/>
      <c r="B56" s="4"/>
      <c r="C56" s="4"/>
      <c r="D56" s="4"/>
      <c r="E56" s="4"/>
      <c r="F56" s="4"/>
      <c r="G56" s="4"/>
      <c r="H56" s="4"/>
      <c r="I56" s="4"/>
      <c r="J56" s="4"/>
    </row>
    <row r="57" spans="1:10" ht="15" customHeight="1" x14ac:dyDescent="0.25">
      <c r="A57" s="4"/>
      <c r="B57" s="4"/>
      <c r="C57" s="4"/>
      <c r="D57" s="4"/>
      <c r="E57" s="4"/>
      <c r="F57" s="4"/>
      <c r="G57" s="4"/>
      <c r="H57" s="4"/>
      <c r="I57" s="4"/>
      <c r="J57" s="4"/>
    </row>
    <row r="58" spans="1:10" ht="15" customHeight="1" x14ac:dyDescent="0.25">
      <c r="A58" s="4"/>
      <c r="B58" s="4"/>
      <c r="C58" s="4"/>
      <c r="D58" s="4"/>
      <c r="E58" s="4"/>
      <c r="F58" s="4"/>
      <c r="G58" s="4"/>
      <c r="H58" s="4"/>
      <c r="I58" s="4"/>
      <c r="J58" s="4"/>
    </row>
    <row r="59" spans="1:10" ht="15" customHeight="1" x14ac:dyDescent="0.25">
      <c r="A59" s="4"/>
      <c r="B59" s="4"/>
      <c r="C59" s="4"/>
      <c r="D59" s="4"/>
      <c r="E59" s="4"/>
      <c r="F59" s="4"/>
      <c r="G59" s="4"/>
      <c r="H59" s="4"/>
      <c r="I59" s="4"/>
      <c r="J59" s="4"/>
    </row>
    <row r="60" spans="1:10" ht="15" customHeight="1" x14ac:dyDescent="0.25">
      <c r="A60" s="4"/>
      <c r="B60" s="4"/>
      <c r="C60" s="4"/>
      <c r="D60" s="4"/>
      <c r="E60" s="4"/>
      <c r="F60" s="4"/>
      <c r="G60" s="4"/>
      <c r="H60" s="4"/>
      <c r="I60" s="4"/>
      <c r="J60" s="4"/>
    </row>
  </sheetData>
  <mergeCells count="2">
    <mergeCell ref="B5:K5"/>
    <mergeCell ref="B26:K2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20"/>
  <sheetViews>
    <sheetView zoomScaleNormal="100" workbookViewId="0">
      <selection activeCell="B18" sqref="B18:B20"/>
    </sheetView>
  </sheetViews>
  <sheetFormatPr defaultColWidth="8.6640625" defaultRowHeight="13.8" x14ac:dyDescent="0.25"/>
  <cols>
    <col min="1" max="1" width="2" style="34" customWidth="1"/>
    <col min="2" max="2" width="30" style="34" customWidth="1"/>
    <col min="3" max="11" width="12" style="34" customWidth="1"/>
    <col min="12" max="16384" width="8.6640625" style="34"/>
  </cols>
  <sheetData>
    <row r="2" spans="2:9" ht="21.75" customHeight="1" x14ac:dyDescent="0.4">
      <c r="B2" s="1" t="s">
        <v>271</v>
      </c>
    </row>
    <row r="3" spans="2:9" ht="15" customHeight="1" x14ac:dyDescent="0.25">
      <c r="B3" s="98"/>
    </row>
    <row r="6" spans="2:9" ht="15" customHeight="1" x14ac:dyDescent="0.25">
      <c r="B6" s="2" t="s">
        <v>272</v>
      </c>
      <c r="C6" s="2"/>
      <c r="D6" s="2"/>
      <c r="E6" s="2"/>
      <c r="F6" s="2"/>
      <c r="G6" s="2"/>
      <c r="H6" s="2"/>
      <c r="I6" s="2"/>
    </row>
    <row r="8" spans="2:9" ht="15" customHeight="1" x14ac:dyDescent="0.25">
      <c r="B8" s="3" t="s">
        <v>273</v>
      </c>
      <c r="C8" s="75">
        <v>2.5000000000000001E-2</v>
      </c>
      <c r="D8" s="75">
        <v>0.03</v>
      </c>
      <c r="E8" s="75">
        <v>3.5000000000000003E-2</v>
      </c>
      <c r="F8" s="75">
        <v>0.04</v>
      </c>
      <c r="G8" s="75">
        <v>4.4999999999999998E-2</v>
      </c>
      <c r="H8" s="75">
        <v>0.05</v>
      </c>
    </row>
    <row r="9" spans="2:9" ht="15" customHeight="1" x14ac:dyDescent="0.25">
      <c r="B9" s="75">
        <v>8.5000000000000006E-2</v>
      </c>
      <c r="C9" s="76">
        <f>(SUMPRODUCT(DCF!$C$20:$J$20/(1+$B9)^DCF!$C$21:$J$21)+(DCF!$J$20*(1+C$8)/($B9-C$8))/(1+$B9)^DCF!$J$21+Assumptions!$C$13)/Assumptions!$C$10</f>
        <v>350.77950877194951</v>
      </c>
      <c r="D9" s="76">
        <f>(SUMPRODUCT(DCF!$C$20:$J$20/(1+$B9)^DCF!$C$21:$J$21)+(DCF!$J$20*(1+D$8)/($B9-D$8))/(1+$B9)^DCF!$J$21+Assumptions!$C$13)/Assumptions!$C$10</f>
        <v>372.87472697887682</v>
      </c>
      <c r="E9" s="76">
        <f>(SUMPRODUCT(DCF!$C$20:$J$20/(1+$B9)^DCF!$C$21:$J$21)+(DCF!$J$20*(1+E$8)/($B9-E$8))/(1+$B9)^DCF!$J$21+Assumptions!$C$13)/Assumptions!$C$10</f>
        <v>399.38898882718951</v>
      </c>
      <c r="F9" s="76">
        <f>(SUMPRODUCT(DCF!$C$20:$J$20/(1+$B9)^DCF!$C$21:$J$21)+(DCF!$J$20*(1+F$8)/($B9-F$8))/(1+$B9)^DCF!$J$21+Assumptions!$C$13)/Assumptions!$C$10</f>
        <v>431.79530886401625</v>
      </c>
      <c r="G9" s="76">
        <f>(SUMPRODUCT(DCF!$C$20:$J$20/(1+$B9)^DCF!$C$21:$J$21)+(DCF!$J$20*(1+G$8)/($B9-G$8))/(1+$B9)^DCF!$J$21+Assumptions!$C$13)/Assumptions!$C$10</f>
        <v>472.30320891004936</v>
      </c>
      <c r="H9" s="76">
        <f>(SUMPRODUCT(DCF!$C$20:$J$20/(1+$B9)^DCF!$C$21:$J$21)+(DCF!$J$20*(1+H$8)/($B9-H$8))/(1+$B9)^DCF!$J$21+Assumptions!$C$13)/Assumptions!$C$10</f>
        <v>524.38479468352091</v>
      </c>
    </row>
    <row r="10" spans="2:9" ht="15" customHeight="1" x14ac:dyDescent="0.25">
      <c r="B10" s="75">
        <v>0.09</v>
      </c>
      <c r="C10" s="76">
        <f>(SUMPRODUCT(DCF!$C$20:$J$20/(1+$B10)^DCF!$C$21:$J$21)+(DCF!$J$20*(1+C$8)/($B10-C$8))/(1+$B10)^DCF!$J$21+Assumptions!$C$13)/Assumptions!$C$10</f>
        <v>323.5414274640471</v>
      </c>
      <c r="D10" s="76">
        <f>(SUMPRODUCT(DCF!$C$20:$J$20/(1+$B10)^DCF!$C$21:$J$21)+(DCF!$J$20*(1+D$8)/($B10-D$8))/(1+$B10)^DCF!$J$21+Assumptions!$C$13)/Assumptions!$C$10</f>
        <v>341.64525107129998</v>
      </c>
      <c r="E10" s="76">
        <f>(SUMPRODUCT(DCF!$C$20:$J$20/(1+$B10)^DCF!$C$21:$J$21)+(DCF!$J$20*(1+E$8)/($B10-E$8))/(1+$B10)^DCF!$J$21+Assumptions!$C$13)/Assumptions!$C$10</f>
        <v>363.04067897078056</v>
      </c>
      <c r="F10" s="76">
        <f>(SUMPRODUCT(DCF!$C$20:$J$20/(1+$B10)^DCF!$C$21:$J$21)+(DCF!$J$20*(1+F$8)/($B10-F$8))/(1+$B10)^DCF!$J$21+Assumptions!$C$13)/Assumptions!$C$10</f>
        <v>388.71519245015725</v>
      </c>
      <c r="G10" s="76">
        <f>(SUMPRODUCT(DCF!$C$20:$J$20/(1+$B10)^DCF!$C$21:$J$21)+(DCF!$J$20*(1+G$8)/($B10-G$8))/(1+$B10)^DCF!$J$21+Assumptions!$C$13)/Assumptions!$C$10</f>
        <v>420.09515336939529</v>
      </c>
      <c r="H10" s="76">
        <f>(SUMPRODUCT(DCF!$C$20:$J$20/(1+$B10)^DCF!$C$21:$J$21)+(DCF!$J$20*(1+H$8)/($B10-H$8))/(1+$B10)^DCF!$J$21+Assumptions!$C$13)/Assumptions!$C$10</f>
        <v>459.32010451844309</v>
      </c>
    </row>
    <row r="11" spans="2:9" ht="15" customHeight="1" x14ac:dyDescent="0.25">
      <c r="B11" s="75">
        <v>9.5000000000000001E-2</v>
      </c>
      <c r="C11" s="76">
        <f>(SUMPRODUCT(DCF!$C$20:$J$20/(1+$B11)^DCF!$C$21:$J$21)+(DCF!$J$20*(1+C$8)/($B11-C$8))/(1+$B11)^DCF!$J$21+Assumptions!$C$13)/Assumptions!$C$10</f>
        <v>300.2676817155965</v>
      </c>
      <c r="D11" s="76">
        <f>(SUMPRODUCT(DCF!$C$20:$J$20/(1+$B11)^DCF!$C$21:$J$21)+(DCF!$J$20*(1+D$8)/($B11-D$8))/(1+$B11)^DCF!$J$21+Assumptions!$C$13)/Assumptions!$C$10</f>
        <v>315.29599262184075</v>
      </c>
      <c r="E11" s="76">
        <f>(SUMPRODUCT(DCF!$C$20:$J$20/(1+$B11)^DCF!$C$21:$J$21)+(DCF!$J$20*(1+E$8)/($B11-E$8))/(1+$B11)^DCF!$J$21+Assumptions!$C$13)/Assumptions!$C$10</f>
        <v>332.82902201245895</v>
      </c>
      <c r="F11" s="76">
        <f>(SUMPRODUCT(DCF!$C$20:$J$20/(1+$B11)^DCF!$C$21:$J$21)+(DCF!$J$20*(1+F$8)/($B11-F$8))/(1+$B11)^DCF!$J$21+Assumptions!$C$13)/Assumptions!$C$10</f>
        <v>353.54987492864416</v>
      </c>
      <c r="G11" s="76">
        <f>(SUMPRODUCT(DCF!$C$20:$J$20/(1+$B11)^DCF!$C$21:$J$21)+(DCF!$J$20*(1+G$8)/($B11-G$8))/(1+$B11)^DCF!$J$21+Assumptions!$C$13)/Assumptions!$C$10</f>
        <v>378.41489842806635</v>
      </c>
      <c r="H11" s="76">
        <f>(SUMPRODUCT(DCF!$C$20:$J$20/(1+$B11)^DCF!$C$21:$J$21)+(DCF!$J$20*(1+H$8)/($B11-H$8))/(1+$B11)^DCF!$J$21+Assumptions!$C$13)/Assumptions!$C$10</f>
        <v>408.80548270513799</v>
      </c>
    </row>
    <row r="12" spans="2:9" ht="15" customHeight="1" x14ac:dyDescent="0.25">
      <c r="B12" s="75">
        <v>0.1</v>
      </c>
      <c r="C12" s="76">
        <f>(SUMPRODUCT(DCF!$C$20:$J$20/(1+$B12)^DCF!$C$21:$J$21)+(DCF!$J$20*(1+C$8)/($B12-C$8))/(1+$B12)^DCF!$J$21+Assumptions!$C$13)/Assumptions!$C$10</f>
        <v>280.16317915545307</v>
      </c>
      <c r="D12" s="76">
        <f>(SUMPRODUCT(DCF!$C$20:$J$20/(1+$B12)^DCF!$C$21:$J$21)+(DCF!$J$20*(1+D$8)/($B12-D$8))/(1+$B12)^DCF!$J$21+Assumptions!$C$13)/Assumptions!$C$10</f>
        <v>292.77890673996785</v>
      </c>
      <c r="E12" s="76">
        <f>(SUMPRODUCT(DCF!$C$20:$J$20/(1+$B12)^DCF!$C$21:$J$21)+(DCF!$J$20*(1+E$8)/($B12-E$8))/(1+$B12)^DCF!$J$21+Assumptions!$C$13)/Assumptions!$C$10</f>
        <v>307.33551549133097</v>
      </c>
      <c r="F12" s="76">
        <f>(SUMPRODUCT(DCF!$C$20:$J$20/(1+$B12)^DCF!$C$21:$J$21)+(DCF!$J$20*(1+F$8)/($B12-F$8))/(1+$B12)^DCF!$J$21+Assumptions!$C$13)/Assumptions!$C$10</f>
        <v>324.31822570125462</v>
      </c>
      <c r="G12" s="76">
        <f>(SUMPRODUCT(DCF!$C$20:$J$20/(1+$B12)^DCF!$C$21:$J$21)+(DCF!$J$20*(1+G$8)/($B12-G$8))/(1+$B12)^DCF!$J$21+Assumptions!$C$13)/Assumptions!$C$10</f>
        <v>344.38870140389162</v>
      </c>
      <c r="H12" s="76">
        <f>(SUMPRODUCT(DCF!$C$20:$J$20/(1+$B12)^DCF!$C$21:$J$21)+(DCF!$J$20*(1+H$8)/($B12-H$8))/(1+$B12)^DCF!$J$21+Assumptions!$C$13)/Assumptions!$C$10</f>
        <v>368.47327224705612</v>
      </c>
    </row>
    <row r="13" spans="2:9" ht="15" customHeight="1" x14ac:dyDescent="0.25">
      <c r="B13" s="75">
        <v>0.105</v>
      </c>
      <c r="C13" s="76">
        <f>(SUMPRODUCT(DCF!$C$20:$J$20/(1+$B13)^DCF!$C$21:$J$21)+(DCF!$J$20*(1+C$8)/($B13-C$8))/(1+$B13)^DCF!$J$21+Assumptions!$C$13)/Assumptions!$C$10</f>
        <v>262.63168053206567</v>
      </c>
      <c r="D13" s="76">
        <f>(SUMPRODUCT(DCF!$C$20:$J$20/(1+$B13)^DCF!$C$21:$J$21)+(DCF!$J$20*(1+D$8)/($B13-D$8))/(1+$B13)^DCF!$J$21+Assumptions!$C$13)/Assumptions!$C$10</f>
        <v>273.32550880129719</v>
      </c>
      <c r="E13" s="76">
        <f>(SUMPRODUCT(DCF!$C$20:$J$20/(1+$B13)^DCF!$C$21:$J$21)+(DCF!$J$20*(1+E$8)/($B13-E$8))/(1+$B13)^DCF!$J$21+Assumptions!$C$13)/Assumptions!$C$10</f>
        <v>285.54702682327604</v>
      </c>
      <c r="F13" s="76">
        <f>(SUMPRODUCT(DCF!$C$20:$J$20/(1+$B13)^DCF!$C$21:$J$21)+(DCF!$J$20*(1+F$8)/($B13-F$8))/(1+$B13)^DCF!$J$21+Assumptions!$C$13)/Assumptions!$C$10</f>
        <v>299.64877838709776</v>
      </c>
      <c r="G13" s="76">
        <f>(SUMPRODUCT(DCF!$C$20:$J$20/(1+$B13)^DCF!$C$21:$J$21)+(DCF!$J$20*(1+G$8)/($B13-G$8))/(1+$B13)^DCF!$J$21+Assumptions!$C$13)/Assumptions!$C$10</f>
        <v>316.1008218782232</v>
      </c>
      <c r="H13" s="76">
        <f>(SUMPRODUCT(DCF!$C$20:$J$20/(1+$B13)^DCF!$C$21:$J$21)+(DCF!$J$20*(1+H$8)/($B13-H$8))/(1+$B13)^DCF!$J$21+Assumptions!$C$13)/Assumptions!$C$10</f>
        <v>335.54414600409859</v>
      </c>
    </row>
    <row r="14" spans="2:9" ht="15" customHeight="1" x14ac:dyDescent="0.25">
      <c r="B14" s="75">
        <v>0.11</v>
      </c>
      <c r="C14" s="76">
        <f>(SUMPRODUCT(DCF!$C$20:$J$20/(1+$B14)^DCF!$C$21:$J$21)+(DCF!$J$20*(1+C$8)/($B14-C$8))/(1+$B14)^DCF!$J$21+Assumptions!$C$13)/Assumptions!$C$10</f>
        <v>247.21731021571449</v>
      </c>
      <c r="D14" s="76">
        <f>(SUMPRODUCT(DCF!$C$20:$J$20/(1+$B14)^DCF!$C$21:$J$21)+(DCF!$J$20*(1+D$8)/($B14-D$8))/(1+$B14)^DCF!$J$21+Assumptions!$C$13)/Assumptions!$C$10</f>
        <v>256.35950853017926</v>
      </c>
      <c r="E14" s="76">
        <f>(SUMPRODUCT(DCF!$C$20:$J$20/(1+$B14)^DCF!$C$21:$J$21)+(DCF!$J$20*(1+E$8)/($B14-E$8))/(1+$B14)^DCF!$J$21+Assumptions!$C$13)/Assumptions!$C$10</f>
        <v>266.72066661990601</v>
      </c>
      <c r="F14" s="76">
        <f>(SUMPRODUCT(DCF!$C$20:$J$20/(1+$B14)^DCF!$C$21:$J$21)+(DCF!$J$20*(1+F$8)/($B14-F$8))/(1+$B14)^DCF!$J$21+Assumptions!$C$13)/Assumptions!$C$10</f>
        <v>278.56199015102237</v>
      </c>
      <c r="G14" s="76">
        <f>(SUMPRODUCT(DCF!$C$20:$J$20/(1+$B14)^DCF!$C$21:$J$21)+(DCF!$J$20*(1+G$8)/($B14-G$8))/(1+$B14)^DCF!$J$21+Assumptions!$C$13)/Assumptions!$C$10</f>
        <v>292.22505576384884</v>
      </c>
      <c r="H14" s="76">
        <f>(SUMPRODUCT(DCF!$C$20:$J$20/(1+$B14)^DCF!$C$21:$J$21)+(DCF!$J$20*(1+H$8)/($B14-H$8))/(1+$B14)^DCF!$J$21+Assumptions!$C$13)/Assumptions!$C$10</f>
        <v>308.1652989788131</v>
      </c>
    </row>
    <row r="15" spans="2:9" ht="15" customHeight="1" x14ac:dyDescent="0.25">
      <c r="B15" s="75">
        <v>0.115</v>
      </c>
      <c r="C15" s="76">
        <f>(SUMPRODUCT(DCF!$C$20:$J$20/(1+$B15)^DCF!$C$21:$J$21)+(DCF!$J$20*(1+C$8)/($B15-C$8))/(1+$B15)^DCF!$J$21+Assumptions!$C$13)/Assumptions!$C$10</f>
        <v>233.56556335077644</v>
      </c>
      <c r="D15" s="76">
        <f>(SUMPRODUCT(DCF!$C$20:$J$20/(1+$B15)^DCF!$C$21:$J$21)+(DCF!$J$20*(1+D$8)/($B15-D$8))/(1+$B15)^DCF!$J$21+Assumptions!$C$13)/Assumptions!$C$10</f>
        <v>241.44027926424874</v>
      </c>
      <c r="E15" s="76">
        <f>(SUMPRODUCT(DCF!$C$20:$J$20/(1+$B15)^DCF!$C$21:$J$21)+(DCF!$J$20*(1+E$8)/($B15-E$8))/(1+$B15)^DCF!$J$21+Assumptions!$C$13)/Assumptions!$C$10</f>
        <v>250.29933466690505</v>
      </c>
      <c r="F15" s="76">
        <f>(SUMPRODUCT(DCF!$C$20:$J$20/(1+$B15)^DCF!$C$21:$J$21)+(DCF!$J$20*(1+F$8)/($B15-F$8))/(1+$B15)^DCF!$J$21+Assumptions!$C$13)/Assumptions!$C$10</f>
        <v>260.33959745658223</v>
      </c>
      <c r="G15" s="76">
        <f>(SUMPRODUCT(DCF!$C$20:$J$20/(1+$B15)^DCF!$C$21:$J$21)+(DCF!$J$20*(1+G$8)/($B15-G$8))/(1+$B15)^DCF!$J$21+Assumptions!$C$13)/Assumptions!$C$10</f>
        <v>271.81418350192757</v>
      </c>
      <c r="H15" s="76">
        <f>(SUMPRODUCT(DCF!$C$20:$J$20/(1+$B15)^DCF!$C$21:$J$21)+(DCF!$J$20*(1+H$8)/($B15-H$8))/(1+$B15)^DCF!$J$21+Assumptions!$C$13)/Assumptions!$C$10</f>
        <v>285.05409047732599</v>
      </c>
    </row>
    <row r="17" spans="2:2" ht="15" customHeight="1" x14ac:dyDescent="0.25">
      <c r="B17" s="13" t="s">
        <v>168</v>
      </c>
    </row>
    <row r="18" spans="2:2" ht="15" customHeight="1" x14ac:dyDescent="0.25">
      <c r="B18" s="18" t="s">
        <v>274</v>
      </c>
    </row>
    <row r="19" spans="2:2" ht="15" customHeight="1" x14ac:dyDescent="0.25">
      <c r="B19" s="18" t="s">
        <v>275</v>
      </c>
    </row>
    <row r="20" spans="2:2" ht="15" customHeight="1" x14ac:dyDescent="0.25">
      <c r="B20" s="18" t="s">
        <v>276</v>
      </c>
    </row>
  </sheetData>
  <mergeCells count="1">
    <mergeCell ref="B6:I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34"/>
  <sheetViews>
    <sheetView topLeftCell="A12" zoomScaleNormal="100" workbookViewId="0">
      <selection activeCell="B31" sqref="B31:B34"/>
    </sheetView>
  </sheetViews>
  <sheetFormatPr defaultColWidth="8.6640625" defaultRowHeight="13.8" x14ac:dyDescent="0.25"/>
  <cols>
    <col min="1" max="1" width="2" style="34" customWidth="1"/>
    <col min="2" max="2" width="48" style="34" customWidth="1"/>
    <col min="3" max="5" width="14" style="34" customWidth="1"/>
    <col min="6" max="6" width="16" style="34" customWidth="1"/>
    <col min="7" max="16384" width="8.6640625" style="34"/>
  </cols>
  <sheetData>
    <row r="2" spans="2:5" ht="21.75" customHeight="1" x14ac:dyDescent="0.4">
      <c r="B2" s="1" t="s">
        <v>277</v>
      </c>
    </row>
    <row r="3" spans="2:5" ht="15" customHeight="1" x14ac:dyDescent="0.25">
      <c r="B3" s="98"/>
    </row>
    <row r="5" spans="2:5" ht="15" customHeight="1" x14ac:dyDescent="0.25">
      <c r="B5" s="2" t="s">
        <v>278</v>
      </c>
      <c r="C5" s="2"/>
      <c r="D5" s="2"/>
      <c r="E5" s="2"/>
    </row>
    <row r="6" spans="2:5" ht="15" customHeight="1" x14ac:dyDescent="0.25">
      <c r="B6" s="3" t="s">
        <v>279</v>
      </c>
      <c r="C6" s="3" t="s">
        <v>280</v>
      </c>
      <c r="D6" s="3" t="s">
        <v>281</v>
      </c>
      <c r="E6" s="3" t="s">
        <v>282</v>
      </c>
    </row>
    <row r="7" spans="2:5" ht="15" customHeight="1" x14ac:dyDescent="0.25">
      <c r="B7" s="4" t="s">
        <v>283</v>
      </c>
      <c r="C7" s="23">
        <v>85</v>
      </c>
      <c r="D7" s="23">
        <v>210</v>
      </c>
      <c r="E7" s="23">
        <v>400</v>
      </c>
    </row>
    <row r="8" spans="2:5" ht="15" customHeight="1" x14ac:dyDescent="0.25">
      <c r="B8" s="4" t="s">
        <v>284</v>
      </c>
      <c r="C8" s="23">
        <v>45</v>
      </c>
      <c r="D8" s="23">
        <v>130</v>
      </c>
      <c r="E8" s="23">
        <v>280</v>
      </c>
    </row>
    <row r="9" spans="2:5" ht="15" customHeight="1" x14ac:dyDescent="0.25">
      <c r="B9" s="4" t="s">
        <v>285</v>
      </c>
      <c r="C9" s="23">
        <v>30</v>
      </c>
      <c r="D9" s="23">
        <v>90</v>
      </c>
      <c r="E9" s="23">
        <v>220</v>
      </c>
    </row>
    <row r="10" spans="2:5" ht="15" customHeight="1" x14ac:dyDescent="0.25">
      <c r="B10" s="4" t="s">
        <v>286</v>
      </c>
      <c r="C10" s="23">
        <v>20</v>
      </c>
      <c r="D10" s="23">
        <v>55</v>
      </c>
      <c r="E10" s="23">
        <v>100</v>
      </c>
    </row>
    <row r="11" spans="2:5" ht="15" customHeight="1" x14ac:dyDescent="0.25">
      <c r="B11" s="53" t="s">
        <v>287</v>
      </c>
      <c r="C11" s="55">
        <f>SUM(C7:C10)</f>
        <v>180</v>
      </c>
      <c r="D11" s="55">
        <f>SUM(D7:D10)</f>
        <v>485</v>
      </c>
      <c r="E11" s="55">
        <f>SUM(E7:E10)</f>
        <v>1000</v>
      </c>
    </row>
    <row r="13" spans="2:5" ht="15" customHeight="1" x14ac:dyDescent="0.25">
      <c r="B13" s="2" t="s">
        <v>288</v>
      </c>
      <c r="C13" s="2"/>
      <c r="D13" s="2"/>
      <c r="E13" s="2"/>
    </row>
    <row r="14" spans="2:5" ht="15" customHeight="1" x14ac:dyDescent="0.25">
      <c r="B14" s="3" t="s">
        <v>279</v>
      </c>
      <c r="C14" s="3" t="s">
        <v>280</v>
      </c>
      <c r="D14" s="3" t="s">
        <v>281</v>
      </c>
      <c r="E14" s="3" t="s">
        <v>282</v>
      </c>
    </row>
    <row r="15" spans="2:5" ht="15" customHeight="1" x14ac:dyDescent="0.25">
      <c r="B15" s="4" t="s">
        <v>289</v>
      </c>
      <c r="C15" s="23">
        <v>45</v>
      </c>
      <c r="D15" s="23">
        <v>110</v>
      </c>
      <c r="E15" s="23">
        <v>180</v>
      </c>
    </row>
    <row r="16" spans="2:5" ht="15" customHeight="1" x14ac:dyDescent="0.25">
      <c r="B16" s="4" t="s">
        <v>290</v>
      </c>
      <c r="C16" s="23">
        <v>60</v>
      </c>
      <c r="D16" s="23">
        <v>120</v>
      </c>
      <c r="E16" s="23">
        <v>180</v>
      </c>
    </row>
    <row r="17" spans="2:5" ht="15" customHeight="1" x14ac:dyDescent="0.25">
      <c r="B17" s="4" t="s">
        <v>291</v>
      </c>
      <c r="C17" s="23">
        <v>25</v>
      </c>
      <c r="D17" s="23">
        <v>55</v>
      </c>
      <c r="E17" s="23">
        <v>80</v>
      </c>
    </row>
    <row r="18" spans="2:5" ht="15" customHeight="1" x14ac:dyDescent="0.25">
      <c r="B18" s="53" t="s">
        <v>292</v>
      </c>
      <c r="C18" s="55">
        <f>SUM(C15:C17)</f>
        <v>130</v>
      </c>
      <c r="D18" s="55">
        <f>SUM(D15:D17)</f>
        <v>285</v>
      </c>
      <c r="E18" s="55">
        <f>SUM(E15:E17)</f>
        <v>440</v>
      </c>
    </row>
    <row r="20" spans="2:5" ht="15" customHeight="1" x14ac:dyDescent="0.25">
      <c r="B20" s="13" t="s">
        <v>293</v>
      </c>
      <c r="C20" s="77">
        <f>C11+C18</f>
        <v>310</v>
      </c>
      <c r="D20" s="77">
        <f>D11+D18</f>
        <v>770</v>
      </c>
      <c r="E20" s="77">
        <f>E11+E18</f>
        <v>1440</v>
      </c>
    </row>
    <row r="23" spans="2:5" ht="15" customHeight="1" x14ac:dyDescent="0.25">
      <c r="B23" s="2" t="s">
        <v>294</v>
      </c>
      <c r="C23" s="2"/>
      <c r="D23" s="2"/>
      <c r="E23" s="2"/>
    </row>
    <row r="24" spans="2:5" ht="15" customHeight="1" x14ac:dyDescent="0.25">
      <c r="B24" s="4" t="s">
        <v>295</v>
      </c>
      <c r="C24" s="20">
        <v>248</v>
      </c>
    </row>
    <row r="25" spans="2:5" ht="15" customHeight="1" x14ac:dyDescent="0.25">
      <c r="B25" s="4" t="s">
        <v>296</v>
      </c>
      <c r="C25" s="25">
        <v>0.13500000000000001</v>
      </c>
    </row>
    <row r="26" spans="2:5" ht="15" customHeight="1" x14ac:dyDescent="0.25">
      <c r="B26" s="4" t="s">
        <v>297</v>
      </c>
      <c r="C26" s="23">
        <v>12000</v>
      </c>
    </row>
    <row r="27" spans="2:5" ht="15" customHeight="1" x14ac:dyDescent="0.25">
      <c r="B27" s="13" t="s">
        <v>298</v>
      </c>
      <c r="C27" s="21">
        <f>C24*C25*C26/1000</f>
        <v>401.76000000000005</v>
      </c>
    </row>
    <row r="28" spans="2:5" ht="15" customHeight="1" x14ac:dyDescent="0.25">
      <c r="B28" s="7"/>
      <c r="C28" s="61"/>
    </row>
    <row r="31" spans="2:5" ht="15" customHeight="1" x14ac:dyDescent="0.25">
      <c r="B31" s="17" t="s">
        <v>168</v>
      </c>
    </row>
    <row r="32" spans="2:5" ht="15" customHeight="1" x14ac:dyDescent="0.25">
      <c r="B32" s="31" t="s">
        <v>299</v>
      </c>
    </row>
    <row r="33" spans="2:2" ht="15" customHeight="1" x14ac:dyDescent="0.25">
      <c r="B33" s="31" t="s">
        <v>300</v>
      </c>
    </row>
    <row r="34" spans="2:2" ht="15" customHeight="1" x14ac:dyDescent="0.25">
      <c r="B34" s="31" t="s">
        <v>301</v>
      </c>
    </row>
  </sheetData>
  <mergeCells count="3">
    <mergeCell ref="B5:E5"/>
    <mergeCell ref="B13:E13"/>
    <mergeCell ref="B23:E2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17"/>
  <sheetViews>
    <sheetView topLeftCell="B1" zoomScale="97" zoomScaleNormal="100" workbookViewId="0">
      <selection activeCell="B17" sqref="B17"/>
    </sheetView>
  </sheetViews>
  <sheetFormatPr defaultColWidth="8.6640625" defaultRowHeight="13.8" x14ac:dyDescent="0.25"/>
  <cols>
    <col min="1" max="1" width="2" style="34" customWidth="1"/>
    <col min="2" max="2" width="112.5546875" style="33" bestFit="1" customWidth="1"/>
    <col min="3" max="3" width="13.33203125" style="34" bestFit="1" customWidth="1"/>
    <col min="4" max="4" width="13.6640625" style="34" bestFit="1" customWidth="1"/>
    <col min="5" max="5" width="8.88671875" style="34" customWidth="1"/>
    <col min="6" max="6" width="34.44140625" style="18" bestFit="1" customWidth="1"/>
    <col min="7" max="16384" width="8.6640625" style="34"/>
  </cols>
  <sheetData>
    <row r="2" spans="2:6" ht="21.75" customHeight="1" x14ac:dyDescent="0.4">
      <c r="B2" s="14" t="s">
        <v>302</v>
      </c>
    </row>
    <row r="3" spans="2:6" ht="15" customHeight="1" x14ac:dyDescent="0.25">
      <c r="B3" s="46"/>
    </row>
    <row r="5" spans="2:6" ht="15" customHeight="1" x14ac:dyDescent="0.25">
      <c r="B5" s="2" t="s">
        <v>303</v>
      </c>
      <c r="C5" s="2"/>
      <c r="D5" s="2"/>
      <c r="E5" s="2"/>
      <c r="F5" s="2"/>
    </row>
    <row r="6" spans="2:6" ht="15" customHeight="1" x14ac:dyDescent="0.25">
      <c r="B6" s="15" t="s">
        <v>195</v>
      </c>
      <c r="C6" s="3" t="s">
        <v>304</v>
      </c>
      <c r="D6" s="3" t="s">
        <v>305</v>
      </c>
      <c r="E6" s="3" t="s">
        <v>306</v>
      </c>
      <c r="F6" s="15" t="s">
        <v>307</v>
      </c>
    </row>
    <row r="7" spans="2:6" ht="15" customHeight="1" x14ac:dyDescent="0.25">
      <c r="B7" s="18" t="s">
        <v>308</v>
      </c>
      <c r="C7" s="5">
        <v>159</v>
      </c>
      <c r="D7" s="5">
        <v>317</v>
      </c>
      <c r="E7" s="6">
        <f>AVERAGE(C7:D7)</f>
        <v>238</v>
      </c>
      <c r="F7" s="18" t="s">
        <v>309</v>
      </c>
    </row>
    <row r="8" spans="2:6" ht="15" customHeight="1" x14ac:dyDescent="0.25">
      <c r="B8" s="18" t="s">
        <v>310</v>
      </c>
      <c r="C8" s="8">
        <f>'Trading Comps'!G19</f>
        <v>319.89298681444677</v>
      </c>
      <c r="D8" s="8">
        <f>'Trading Comps'!H19</f>
        <v>461.6854576724632</v>
      </c>
      <c r="E8" s="6">
        <f>AVERAGE(C8:D8)</f>
        <v>390.78922224345501</v>
      </c>
      <c r="F8" s="18" t="s">
        <v>311</v>
      </c>
    </row>
    <row r="9" spans="2:6" ht="15" customHeight="1" x14ac:dyDescent="0.25">
      <c r="B9" s="18" t="s">
        <v>312</v>
      </c>
      <c r="C9" s="8">
        <f>'Precedent Trans'!G19</f>
        <v>390.31148480794957</v>
      </c>
      <c r="D9" s="8">
        <f>'Precedent Trans'!H19</f>
        <v>673.51423657557814</v>
      </c>
      <c r="E9" s="6">
        <f>AVERAGE(C9:D9)</f>
        <v>531.91286069176385</v>
      </c>
      <c r="F9" s="18" t="s">
        <v>313</v>
      </c>
    </row>
    <row r="10" spans="2:6" ht="15" customHeight="1" x14ac:dyDescent="0.25">
      <c r="B10" s="18" t="s">
        <v>314</v>
      </c>
      <c r="C10" s="6">
        <f>MIN('DCF Sensitivity'!C9:H15)</f>
        <v>233.56556335077644</v>
      </c>
      <c r="D10" s="6">
        <f>MAX('DCF Sensitivity'!C9:H15)</f>
        <v>524.38479468352091</v>
      </c>
      <c r="E10" s="6">
        <f>AVERAGE(C10:D10)</f>
        <v>378.97517901714866</v>
      </c>
      <c r="F10" s="18" t="s">
        <v>315</v>
      </c>
    </row>
    <row r="11" spans="2:6" ht="15" customHeight="1" x14ac:dyDescent="0.25">
      <c r="B11" s="18" t="s">
        <v>316</v>
      </c>
      <c r="C11" s="8">
        <f>DCF!C38</f>
        <v>322.30274536801733</v>
      </c>
      <c r="D11" s="8">
        <f>DCF!C38</f>
        <v>322.30274536801733</v>
      </c>
      <c r="E11" s="8">
        <f>DCF!C38</f>
        <v>322.30274536801733</v>
      </c>
      <c r="F11" s="18" t="s">
        <v>317</v>
      </c>
    </row>
    <row r="12" spans="2:6" ht="15" customHeight="1" x14ac:dyDescent="0.25">
      <c r="B12" s="78" t="s">
        <v>318</v>
      </c>
      <c r="C12" s="10">
        <f>Assumptions!C8</f>
        <v>300</v>
      </c>
      <c r="D12" s="11">
        <f>Assumptions!C12</f>
        <v>0.25376128385155461</v>
      </c>
      <c r="E12" s="12">
        <f>Assumptions!C14</f>
        <v>13799</v>
      </c>
      <c r="F12" s="18" t="s">
        <v>319</v>
      </c>
    </row>
    <row r="13" spans="2:6" x14ac:dyDescent="0.25">
      <c r="B13" s="18"/>
      <c r="C13" s="79"/>
      <c r="D13" s="79"/>
      <c r="E13" s="79"/>
    </row>
    <row r="14" spans="2:6" ht="15" customHeight="1" x14ac:dyDescent="0.25">
      <c r="B14" s="17" t="s">
        <v>168</v>
      </c>
      <c r="C14" s="79"/>
      <c r="D14" s="79"/>
      <c r="E14" s="79"/>
    </row>
    <row r="15" spans="2:6" ht="15" customHeight="1" x14ac:dyDescent="0.25">
      <c r="B15" s="18" t="s">
        <v>320</v>
      </c>
      <c r="C15" s="79"/>
      <c r="D15" s="79"/>
      <c r="E15" s="79"/>
    </row>
    <row r="16" spans="2:6" ht="15" customHeight="1" x14ac:dyDescent="0.25">
      <c r="B16" s="18" t="s">
        <v>321</v>
      </c>
      <c r="C16" s="79"/>
      <c r="D16" s="79"/>
      <c r="E16" s="79"/>
    </row>
    <row r="17" spans="2:5" ht="15" customHeight="1" x14ac:dyDescent="0.25">
      <c r="B17" s="18" t="s">
        <v>322</v>
      </c>
      <c r="C17" s="79"/>
      <c r="D17" s="79"/>
      <c r="E17" s="79"/>
    </row>
  </sheetData>
  <mergeCells count="1">
    <mergeCell ref="B5:F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80"/>
  <sheetViews>
    <sheetView topLeftCell="A61" zoomScaleNormal="100" workbookViewId="0">
      <selection activeCell="B71" sqref="B71"/>
    </sheetView>
  </sheetViews>
  <sheetFormatPr defaultColWidth="8.6640625" defaultRowHeight="13.2" x14ac:dyDescent="0.25"/>
  <cols>
    <col min="1" max="1" width="2" style="79" customWidth="1"/>
    <col min="2" max="2" width="50" style="79" customWidth="1"/>
    <col min="3" max="4" width="16" style="79" customWidth="1"/>
    <col min="5" max="5" width="18" style="79" customWidth="1"/>
    <col min="6" max="6" width="32" style="79" customWidth="1"/>
    <col min="7" max="16384" width="8.6640625" style="79"/>
  </cols>
  <sheetData>
    <row r="1" spans="1:6" s="34" customFormat="1" ht="13.8" x14ac:dyDescent="0.25"/>
    <row r="2" spans="1:6" s="34" customFormat="1" ht="21.75" customHeight="1" x14ac:dyDescent="0.3">
      <c r="A2" s="4"/>
      <c r="B2" s="80" t="s">
        <v>323</v>
      </c>
      <c r="C2" s="4"/>
      <c r="D2" s="4"/>
      <c r="E2" s="4"/>
    </row>
    <row r="3" spans="1:6" s="34" customFormat="1" ht="15" customHeight="1" x14ac:dyDescent="0.25">
      <c r="A3" s="4"/>
      <c r="B3" s="36" t="s">
        <v>324</v>
      </c>
      <c r="C3" s="36"/>
      <c r="D3" s="36"/>
      <c r="E3" s="36"/>
      <c r="F3" s="36"/>
    </row>
    <row r="4" spans="1:6" ht="15" customHeight="1" x14ac:dyDescent="0.25">
      <c r="A4" s="4"/>
      <c r="B4" s="4"/>
      <c r="C4" s="4"/>
      <c r="D4" s="4"/>
      <c r="E4" s="4"/>
    </row>
    <row r="5" spans="1:6" ht="15" customHeight="1" x14ac:dyDescent="0.25">
      <c r="A5" s="4"/>
      <c r="B5" s="2" t="s">
        <v>325</v>
      </c>
      <c r="C5" s="2"/>
      <c r="D5" s="2"/>
      <c r="E5" s="2"/>
    </row>
    <row r="6" spans="1:6" ht="15" customHeight="1" x14ac:dyDescent="0.25">
      <c r="A6" s="4"/>
      <c r="B6" s="4"/>
      <c r="C6" s="4"/>
      <c r="D6" s="4"/>
      <c r="E6" s="4"/>
    </row>
    <row r="7" spans="1:6" ht="15" customHeight="1" x14ac:dyDescent="0.25">
      <c r="A7" s="4"/>
      <c r="B7" s="4" t="s">
        <v>326</v>
      </c>
      <c r="C7" s="64">
        <f>Assumptions!C11</f>
        <v>15699</v>
      </c>
      <c r="D7" s="4"/>
      <c r="E7" s="4"/>
    </row>
    <row r="8" spans="1:6" ht="15" customHeight="1" x14ac:dyDescent="0.25">
      <c r="A8" s="4"/>
      <c r="B8" s="4" t="s">
        <v>327</v>
      </c>
      <c r="C8" s="64">
        <f>Assumptions!C26</f>
        <v>10989.3</v>
      </c>
      <c r="D8" s="4"/>
      <c r="E8" s="4"/>
    </row>
    <row r="9" spans="1:6" ht="15" customHeight="1" x14ac:dyDescent="0.25">
      <c r="A9" s="4"/>
      <c r="B9" s="4" t="s">
        <v>328</v>
      </c>
      <c r="C9" s="64">
        <f>Assumptions!C27</f>
        <v>4709.7000000000007</v>
      </c>
      <c r="D9" s="4"/>
      <c r="E9" s="4"/>
    </row>
    <row r="10" spans="1:6" ht="15" customHeight="1" x14ac:dyDescent="0.25">
      <c r="A10" s="4"/>
      <c r="B10" s="4" t="s">
        <v>329</v>
      </c>
      <c r="C10" s="81">
        <f>Assumptions!C29</f>
        <v>19.145121951219515</v>
      </c>
      <c r="D10" s="4"/>
      <c r="E10" s="4"/>
    </row>
    <row r="11" spans="1:6" ht="15" customHeight="1" x14ac:dyDescent="0.25">
      <c r="A11" s="4"/>
      <c r="B11" s="4" t="s">
        <v>330</v>
      </c>
      <c r="C11" s="64">
        <f>Assumptions!C32</f>
        <v>8000</v>
      </c>
      <c r="D11" s="4"/>
      <c r="E11" s="4"/>
    </row>
    <row r="12" spans="1:6" ht="15" customHeight="1" x14ac:dyDescent="0.25">
      <c r="A12" s="4"/>
      <c r="B12" s="4" t="s">
        <v>331</v>
      </c>
      <c r="C12" s="64">
        <f>Assumptions!C34</f>
        <v>416</v>
      </c>
      <c r="D12" s="4"/>
      <c r="E12" s="4"/>
    </row>
    <row r="13" spans="1:6" ht="15" customHeight="1" x14ac:dyDescent="0.25">
      <c r="A13" s="4"/>
      <c r="B13" s="4" t="s">
        <v>332</v>
      </c>
      <c r="C13" s="64">
        <f>Assumptions!C35</f>
        <v>350</v>
      </c>
      <c r="D13" s="4"/>
      <c r="E13" s="4"/>
    </row>
    <row r="14" spans="1:6" ht="15" customHeight="1" x14ac:dyDescent="0.25">
      <c r="A14" s="4"/>
      <c r="B14" s="4" t="s">
        <v>333</v>
      </c>
      <c r="C14" s="64">
        <f>'Purchase Price Alloc'!C31</f>
        <v>556.66666666666663</v>
      </c>
      <c r="D14" s="82">
        <f>'Purchase Price Alloc'!D31</f>
        <v>556.66666666666663</v>
      </c>
      <c r="E14" s="4"/>
    </row>
    <row r="15" spans="1:6" ht="15" customHeight="1" x14ac:dyDescent="0.25">
      <c r="A15" s="4"/>
      <c r="B15" s="4" t="s">
        <v>334</v>
      </c>
      <c r="C15" s="64">
        <f>-'Purchase Price Alloc'!C19</f>
        <v>-200</v>
      </c>
      <c r="D15" s="4"/>
      <c r="E15" s="4"/>
    </row>
    <row r="16" spans="1:6" ht="15" customHeight="1" x14ac:dyDescent="0.25">
      <c r="A16" s="4"/>
      <c r="B16" s="4"/>
      <c r="C16" s="70"/>
      <c r="D16" s="4"/>
      <c r="E16" s="4"/>
    </row>
    <row r="17" spans="1:5" ht="15" customHeight="1" x14ac:dyDescent="0.25">
      <c r="A17" s="4"/>
      <c r="B17" s="4"/>
      <c r="C17" s="70"/>
      <c r="D17" s="4"/>
      <c r="E17" s="4"/>
    </row>
    <row r="18" spans="1:5" ht="15" customHeight="1" x14ac:dyDescent="0.25">
      <c r="A18" s="4"/>
      <c r="B18" s="2" t="s">
        <v>335</v>
      </c>
      <c r="C18" s="2"/>
      <c r="D18" s="2"/>
      <c r="E18" s="2"/>
    </row>
    <row r="19" spans="1:5" ht="15" customHeight="1" x14ac:dyDescent="0.25">
      <c r="A19" s="4"/>
      <c r="B19" s="13" t="s">
        <v>236</v>
      </c>
      <c r="C19" s="63" t="s">
        <v>280</v>
      </c>
      <c r="D19" s="63" t="s">
        <v>281</v>
      </c>
      <c r="E19" s="4"/>
    </row>
    <row r="20" spans="1:5" ht="15" customHeight="1" x14ac:dyDescent="0.25">
      <c r="A20" s="4"/>
      <c r="B20" s="3" t="s">
        <v>336</v>
      </c>
      <c r="C20" s="66">
        <f>Assumptions!C55*Assumptions!C54</f>
        <v>11513.599999999999</v>
      </c>
      <c r="D20" s="66">
        <f>Assumptions!C56*Assumptions!C54</f>
        <v>12747.2</v>
      </c>
      <c r="E20" s="4"/>
    </row>
    <row r="21" spans="1:5" ht="15" customHeight="1" x14ac:dyDescent="0.25">
      <c r="A21" s="4"/>
      <c r="B21" s="4" t="s">
        <v>337</v>
      </c>
      <c r="C21" s="66">
        <f>Assumptions!C57</f>
        <v>360</v>
      </c>
      <c r="D21" s="66">
        <f>Assumptions!C58</f>
        <v>758</v>
      </c>
      <c r="E21" s="4"/>
    </row>
    <row r="22" spans="1:5" ht="15" customHeight="1" x14ac:dyDescent="0.25">
      <c r="A22" s="4"/>
      <c r="B22" s="4" t="s">
        <v>338</v>
      </c>
      <c r="C22" s="66">
        <f>Synergies!C20</f>
        <v>310</v>
      </c>
      <c r="D22" s="66">
        <f>Synergies!D20</f>
        <v>770</v>
      </c>
      <c r="E22" s="4"/>
    </row>
    <row r="23" spans="1:5" ht="15" customHeight="1" x14ac:dyDescent="0.25">
      <c r="A23" s="4"/>
      <c r="B23" s="4" t="s">
        <v>339</v>
      </c>
      <c r="C23" s="66">
        <f>-C22*Assumptions!$C$43</f>
        <v>-65.099999999999994</v>
      </c>
      <c r="D23" s="66">
        <f>-D22*Assumptions!$C$43</f>
        <v>-161.69999999999999</v>
      </c>
      <c r="E23" s="4"/>
    </row>
    <row r="24" spans="1:5" ht="15" customHeight="1" x14ac:dyDescent="0.25">
      <c r="A24" s="4"/>
      <c r="B24" s="4" t="s">
        <v>340</v>
      </c>
      <c r="C24" s="66">
        <f>-$C$13*(1-Assumptions!$C$43)</f>
        <v>-276.5</v>
      </c>
      <c r="D24" s="66">
        <f>0</f>
        <v>0</v>
      </c>
      <c r="E24" s="4"/>
    </row>
    <row r="25" spans="1:5" ht="15" customHeight="1" x14ac:dyDescent="0.25">
      <c r="A25" s="4"/>
      <c r="B25" s="4" t="s">
        <v>341</v>
      </c>
      <c r="C25" s="66">
        <f>-Assumptions!$C$34*(1-Assumptions!$C$43)</f>
        <v>-328.64</v>
      </c>
      <c r="D25" s="66">
        <f>-Assumptions!$C$34*(1-Assumptions!$C$43)</f>
        <v>-328.64</v>
      </c>
      <c r="E25" s="4"/>
    </row>
    <row r="26" spans="1:5" ht="15" customHeight="1" x14ac:dyDescent="0.25">
      <c r="A26" s="4"/>
      <c r="B26" s="13" t="s">
        <v>342</v>
      </c>
      <c r="C26" s="83">
        <f>SUM(C20:C25)</f>
        <v>11513.359999999999</v>
      </c>
      <c r="D26" s="83">
        <f>SUM(D20:D25)</f>
        <v>13784.86</v>
      </c>
      <c r="E26" s="4"/>
    </row>
    <row r="27" spans="1:5" ht="15" customHeight="1" x14ac:dyDescent="0.25">
      <c r="A27" s="4"/>
      <c r="B27" s="4"/>
      <c r="C27" s="70"/>
      <c r="D27" s="70"/>
      <c r="E27" s="4"/>
    </row>
    <row r="28" spans="1:5" ht="15" customHeight="1" x14ac:dyDescent="0.25">
      <c r="A28" s="4"/>
      <c r="B28" s="4"/>
      <c r="C28" s="4"/>
      <c r="D28" s="4"/>
      <c r="E28" s="4"/>
    </row>
    <row r="29" spans="1:5" ht="15" customHeight="1" x14ac:dyDescent="0.25">
      <c r="A29" s="4"/>
      <c r="B29" s="2" t="s">
        <v>343</v>
      </c>
      <c r="C29" s="2"/>
      <c r="D29" s="2"/>
      <c r="E29" s="2"/>
    </row>
    <row r="30" spans="1:5" ht="15" customHeight="1" x14ac:dyDescent="0.25">
      <c r="A30" s="4"/>
      <c r="B30" s="84"/>
      <c r="C30" s="63" t="s">
        <v>280</v>
      </c>
      <c r="D30" s="63" t="s">
        <v>281</v>
      </c>
      <c r="E30" s="4"/>
    </row>
    <row r="31" spans="1:5" ht="15" customHeight="1" x14ac:dyDescent="0.25">
      <c r="A31" s="4"/>
      <c r="B31" s="13" t="s">
        <v>344</v>
      </c>
      <c r="C31" s="85">
        <v>4500</v>
      </c>
      <c r="D31" s="85">
        <v>5400</v>
      </c>
      <c r="E31" s="4"/>
    </row>
    <row r="32" spans="1:5" ht="15" customHeight="1" x14ac:dyDescent="0.25">
      <c r="A32" s="4"/>
      <c r="B32" s="4" t="s">
        <v>345</v>
      </c>
      <c r="C32" s="85">
        <v>100</v>
      </c>
      <c r="D32" s="85">
        <v>350</v>
      </c>
      <c r="E32" s="4"/>
    </row>
    <row r="33" spans="1:5" ht="15" customHeight="1" x14ac:dyDescent="0.25">
      <c r="A33" s="4"/>
      <c r="B33" s="4" t="s">
        <v>346</v>
      </c>
      <c r="C33" s="66">
        <f>-'Purchase Price Alloc'!C31*(1-Assumptions!$C$43)</f>
        <v>-439.76666666666665</v>
      </c>
      <c r="D33" s="66">
        <f>-'Purchase Price Alloc'!D31*(1-Assumptions!$C$43)</f>
        <v>-439.76666666666665</v>
      </c>
      <c r="E33" s="4"/>
    </row>
    <row r="34" spans="1:5" ht="15" customHeight="1" x14ac:dyDescent="0.25">
      <c r="A34" s="4"/>
      <c r="B34" s="4" t="s">
        <v>347</v>
      </c>
      <c r="C34" s="66">
        <f>-200*(1-Assumptions!$C$43)</f>
        <v>-158</v>
      </c>
      <c r="D34" s="66">
        <f>0</f>
        <v>0</v>
      </c>
      <c r="E34" s="4"/>
    </row>
    <row r="35" spans="1:5" ht="15" customHeight="1" x14ac:dyDescent="0.25">
      <c r="A35" s="4"/>
      <c r="B35" s="4" t="s">
        <v>338</v>
      </c>
      <c r="C35" s="66">
        <f>Synergies!C20</f>
        <v>310</v>
      </c>
      <c r="D35" s="66">
        <f>Synergies!D20</f>
        <v>770</v>
      </c>
      <c r="E35" s="4"/>
    </row>
    <row r="36" spans="1:5" ht="15" customHeight="1" x14ac:dyDescent="0.25">
      <c r="A36" s="4"/>
      <c r="B36" s="4" t="s">
        <v>339</v>
      </c>
      <c r="C36" s="66">
        <f>-C35*Assumptions!$C$43</f>
        <v>-65.099999999999994</v>
      </c>
      <c r="D36" s="66">
        <f>-D35*Assumptions!$C$43</f>
        <v>-161.69999999999999</v>
      </c>
      <c r="E36" s="4"/>
    </row>
    <row r="37" spans="1:5" ht="15" customHeight="1" x14ac:dyDescent="0.25">
      <c r="A37" s="4"/>
      <c r="B37" s="4" t="s">
        <v>340</v>
      </c>
      <c r="C37" s="66">
        <f>-$C$13*(1-Assumptions!$C$43)</f>
        <v>-276.5</v>
      </c>
      <c r="D37" s="66">
        <f>0</f>
        <v>0</v>
      </c>
      <c r="E37" s="4"/>
    </row>
    <row r="38" spans="1:5" ht="15" customHeight="1" x14ac:dyDescent="0.25">
      <c r="A38" s="4"/>
      <c r="B38" s="84" t="s">
        <v>341</v>
      </c>
      <c r="C38" s="66">
        <f>-Assumptions!$C$34*(1-Assumptions!$C$43)</f>
        <v>-328.64</v>
      </c>
      <c r="D38" s="66">
        <f>-Assumptions!$C$34*(1-Assumptions!$C$43)</f>
        <v>-328.64</v>
      </c>
      <c r="E38" s="4"/>
    </row>
    <row r="39" spans="1:5" ht="32.25" customHeight="1" x14ac:dyDescent="0.25">
      <c r="A39" s="4"/>
      <c r="B39" s="13" t="s">
        <v>348</v>
      </c>
      <c r="C39" s="83">
        <f>SUM(C31:C38)</f>
        <v>3641.9933333333333</v>
      </c>
      <c r="D39" s="83">
        <f>SUM(D31:D38)</f>
        <v>5589.8933333333334</v>
      </c>
      <c r="E39" s="86"/>
    </row>
    <row r="40" spans="1:5" ht="15" customHeight="1" x14ac:dyDescent="0.25">
      <c r="A40" s="4"/>
      <c r="B40" s="4"/>
      <c r="C40" s="70"/>
      <c r="D40" s="70"/>
      <c r="E40" s="4"/>
    </row>
    <row r="41" spans="1:5" ht="15" customHeight="1" x14ac:dyDescent="0.25">
      <c r="A41" s="4"/>
      <c r="B41" s="4"/>
      <c r="C41" s="70"/>
      <c r="D41" s="70"/>
      <c r="E41" s="4"/>
    </row>
    <row r="42" spans="1:5" ht="15" customHeight="1" x14ac:dyDescent="0.25">
      <c r="A42" s="4"/>
      <c r="B42" s="2" t="s">
        <v>349</v>
      </c>
      <c r="C42" s="2"/>
      <c r="D42" s="2"/>
      <c r="E42" s="2"/>
    </row>
    <row r="43" spans="1:5" ht="15" customHeight="1" x14ac:dyDescent="0.25">
      <c r="A43" s="4"/>
      <c r="B43" s="4"/>
      <c r="C43" s="63" t="s">
        <v>280</v>
      </c>
      <c r="D43" s="63" t="s">
        <v>281</v>
      </c>
      <c r="E43" s="4"/>
    </row>
    <row r="44" spans="1:5" ht="15" customHeight="1" x14ac:dyDescent="0.25">
      <c r="A44" s="4"/>
      <c r="B44" s="4" t="s">
        <v>350</v>
      </c>
      <c r="C44" s="87">
        <f>Assumptions!C54+Assumptions!C29</f>
        <v>1047.1451219512196</v>
      </c>
      <c r="D44" s="87">
        <f>Assumptions!C54+Assumptions!C29</f>
        <v>1047.1451219512196</v>
      </c>
      <c r="E44" s="4"/>
    </row>
    <row r="45" spans="1:5" ht="15" customHeight="1" x14ac:dyDescent="0.25">
      <c r="A45" s="4"/>
      <c r="B45" s="4"/>
      <c r="C45" s="70"/>
      <c r="D45" s="4"/>
      <c r="E45" s="4"/>
    </row>
    <row r="46" spans="1:5" ht="15" customHeight="1" x14ac:dyDescent="0.25">
      <c r="A46" s="4"/>
      <c r="B46" s="4" t="s">
        <v>351</v>
      </c>
      <c r="C46" s="73">
        <f>Assumptions!C55</f>
        <v>11.2</v>
      </c>
      <c r="D46" s="73">
        <f>Assumptions!C56</f>
        <v>12.4</v>
      </c>
      <c r="E46" s="4"/>
    </row>
    <row r="47" spans="1:5" ht="15" customHeight="1" x14ac:dyDescent="0.25">
      <c r="A47" s="4"/>
      <c r="B47" s="4" t="s">
        <v>352</v>
      </c>
      <c r="C47" s="76">
        <f>C26/C44</f>
        <v>10.994999411873629</v>
      </c>
      <c r="D47" s="76">
        <f>D26/D44</f>
        <v>13.164230736532197</v>
      </c>
      <c r="E47" s="4"/>
    </row>
    <row r="48" spans="1:5" ht="15" customHeight="1" x14ac:dyDescent="0.25">
      <c r="A48" s="4"/>
      <c r="B48" s="13" t="s">
        <v>353</v>
      </c>
      <c r="C48" s="88">
        <f>C47/C46-1</f>
        <v>-1.8303623939854519E-2</v>
      </c>
      <c r="D48" s="88">
        <f>D47/D46-1</f>
        <v>6.1631511010661111E-2</v>
      </c>
      <c r="E48" s="4"/>
    </row>
    <row r="49" spans="1:5" ht="15" customHeight="1" x14ac:dyDescent="0.25">
      <c r="A49" s="4"/>
      <c r="B49" s="4"/>
      <c r="C49" s="4"/>
      <c r="D49" s="4"/>
      <c r="E49" s="4"/>
    </row>
    <row r="50" spans="1:5" ht="15" customHeight="1" x14ac:dyDescent="0.25">
      <c r="A50" s="4"/>
      <c r="B50" s="4" t="s">
        <v>354</v>
      </c>
      <c r="C50" s="76">
        <f>C31/Assumptions!C54</f>
        <v>4.3774319066147864</v>
      </c>
      <c r="D50" s="76">
        <f>D31/Assumptions!C54</f>
        <v>5.2529182879377432</v>
      </c>
      <c r="E50" s="4"/>
    </row>
    <row r="51" spans="1:5" ht="15" customHeight="1" x14ac:dyDescent="0.25">
      <c r="A51" s="4"/>
      <c r="B51" s="4" t="s">
        <v>355</v>
      </c>
      <c r="C51" s="76">
        <f>C39/C44</f>
        <v>3.4780215817144327</v>
      </c>
      <c r="D51" s="76">
        <f>D39/D44</f>
        <v>5.3382221968596761</v>
      </c>
      <c r="E51" s="4"/>
    </row>
    <row r="52" spans="1:5" ht="15" customHeight="1" x14ac:dyDescent="0.25">
      <c r="A52" s="4"/>
      <c r="B52" s="13" t="s">
        <v>356</v>
      </c>
      <c r="C52" s="88">
        <f>C51/C50-1</f>
        <v>-0.20546529199945862</v>
      </c>
      <c r="D52" s="88">
        <f>D51/D50-1</f>
        <v>1.6239336735508703E-2</v>
      </c>
      <c r="E52" s="4"/>
    </row>
    <row r="53" spans="1:5" ht="15" customHeight="1" x14ac:dyDescent="0.25">
      <c r="A53" s="4"/>
      <c r="B53" s="4"/>
      <c r="C53" s="4"/>
      <c r="D53" s="4"/>
      <c r="E53" s="4"/>
    </row>
    <row r="54" spans="1:5" ht="15" customHeight="1" x14ac:dyDescent="0.25">
      <c r="A54" s="4"/>
      <c r="B54" s="4"/>
      <c r="C54" s="4"/>
      <c r="D54" s="4"/>
      <c r="E54" s="4"/>
    </row>
    <row r="55" spans="1:5" ht="15" customHeight="1" x14ac:dyDescent="0.25">
      <c r="A55" s="4"/>
      <c r="B55" s="2" t="s">
        <v>357</v>
      </c>
      <c r="C55" s="2"/>
      <c r="D55" s="2"/>
      <c r="E55" s="2"/>
    </row>
    <row r="56" spans="1:5" ht="15" customHeight="1" x14ac:dyDescent="0.25">
      <c r="A56" s="4"/>
      <c r="B56" s="4"/>
      <c r="C56" s="63" t="s">
        <v>280</v>
      </c>
      <c r="D56" s="63" t="s">
        <v>281</v>
      </c>
      <c r="E56" s="4"/>
    </row>
    <row r="57" spans="1:5" ht="15" customHeight="1" x14ac:dyDescent="0.25">
      <c r="A57" s="4"/>
      <c r="B57" s="4" t="s">
        <v>358</v>
      </c>
      <c r="C57" s="85">
        <v>41500</v>
      </c>
      <c r="D57" s="85">
        <v>45650</v>
      </c>
      <c r="E57" s="4"/>
    </row>
    <row r="58" spans="1:5" ht="15" customHeight="1" x14ac:dyDescent="0.25">
      <c r="A58" s="4"/>
      <c r="B58" s="4" t="s">
        <v>359</v>
      </c>
      <c r="C58" s="66">
        <f>'Target Financials'!G7+$C$15</f>
        <v>4138.5550000000003</v>
      </c>
      <c r="D58" s="66">
        <f>'Target Financials'!H7</f>
        <v>5028.3852450000004</v>
      </c>
      <c r="E58" s="4"/>
    </row>
    <row r="59" spans="1:5" ht="15" customHeight="1" x14ac:dyDescent="0.25">
      <c r="A59" s="4"/>
      <c r="B59" s="4" t="s">
        <v>360</v>
      </c>
      <c r="C59" s="64">
        <f>Synergies!C11</f>
        <v>180</v>
      </c>
      <c r="D59" s="64">
        <f>Synergies!D11</f>
        <v>485</v>
      </c>
      <c r="E59" s="4"/>
    </row>
    <row r="60" spans="1:5" ht="15" customHeight="1" x14ac:dyDescent="0.25">
      <c r="A60" s="4"/>
      <c r="B60" s="13" t="s">
        <v>361</v>
      </c>
      <c r="C60" s="83">
        <f>SUM(C57:C59)</f>
        <v>45818.555</v>
      </c>
      <c r="D60" s="83">
        <f>SUM(D57:D59)</f>
        <v>51163.385244999998</v>
      </c>
      <c r="E60" s="4"/>
    </row>
    <row r="61" spans="1:5" ht="15" customHeight="1" x14ac:dyDescent="0.25">
      <c r="A61" s="4"/>
      <c r="B61" s="4" t="s">
        <v>362</v>
      </c>
      <c r="C61" s="89">
        <f>D60/C60-1</f>
        <v>0.1166520909487434</v>
      </c>
      <c r="D61" s="89"/>
      <c r="E61" s="4"/>
    </row>
    <row r="62" spans="1:5" ht="15" customHeight="1" x14ac:dyDescent="0.25">
      <c r="A62" s="4"/>
      <c r="B62" s="4" t="s">
        <v>363</v>
      </c>
      <c r="C62" s="89">
        <f>D57/C57-1</f>
        <v>0.10000000000000009</v>
      </c>
      <c r="D62" s="89"/>
      <c r="E62" s="4"/>
    </row>
    <row r="63" spans="1:5" ht="15" customHeight="1" x14ac:dyDescent="0.25">
      <c r="A63" s="4"/>
      <c r="B63" s="13" t="s">
        <v>364</v>
      </c>
      <c r="C63" s="90">
        <f>(C61-C62)*10000</f>
        <v>166.52090948743313</v>
      </c>
      <c r="D63" s="90"/>
      <c r="E63" s="4"/>
    </row>
    <row r="64" spans="1:5" ht="15" customHeight="1" x14ac:dyDescent="0.25">
      <c r="A64" s="4"/>
      <c r="B64" s="4"/>
      <c r="C64" s="4"/>
      <c r="D64" s="4"/>
      <c r="E64" s="4"/>
    </row>
    <row r="65" spans="1:5" ht="15" customHeight="1" x14ac:dyDescent="0.25">
      <c r="A65" s="4"/>
      <c r="B65" s="4"/>
      <c r="C65" s="4"/>
      <c r="D65" s="4"/>
      <c r="E65" s="4"/>
    </row>
    <row r="66" spans="1:5" ht="15" customHeight="1" x14ac:dyDescent="0.25">
      <c r="A66" s="4"/>
      <c r="B66" s="13" t="s">
        <v>264</v>
      </c>
      <c r="C66" s="4"/>
      <c r="D66" s="4"/>
      <c r="E66" s="4"/>
    </row>
    <row r="67" spans="1:5" ht="15" customHeight="1" x14ac:dyDescent="0.25">
      <c r="A67" s="4"/>
      <c r="B67" s="18" t="s">
        <v>365</v>
      </c>
      <c r="C67" s="4"/>
      <c r="D67" s="4"/>
      <c r="E67" s="4"/>
    </row>
    <row r="68" spans="1:5" ht="15" customHeight="1" x14ac:dyDescent="0.25">
      <c r="A68" s="4"/>
      <c r="B68" s="18" t="s">
        <v>366</v>
      </c>
      <c r="C68" s="4"/>
      <c r="D68" s="4"/>
      <c r="E68" s="4"/>
    </row>
    <row r="69" spans="1:5" ht="15" customHeight="1" x14ac:dyDescent="0.25">
      <c r="A69" s="4"/>
      <c r="B69" s="18" t="s">
        <v>367</v>
      </c>
      <c r="C69" s="4"/>
      <c r="D69" s="4"/>
      <c r="E69" s="4"/>
    </row>
    <row r="70" spans="1:5" ht="15" customHeight="1" x14ac:dyDescent="0.25">
      <c r="A70" s="4"/>
      <c r="B70" s="18" t="s">
        <v>368</v>
      </c>
      <c r="C70" s="4"/>
      <c r="D70" s="4"/>
      <c r="E70" s="4"/>
    </row>
    <row r="71" spans="1:5" ht="15" customHeight="1" x14ac:dyDescent="0.25">
      <c r="A71" s="4"/>
      <c r="B71" s="18" t="s">
        <v>369</v>
      </c>
      <c r="C71" s="4"/>
      <c r="D71" s="4"/>
      <c r="E71" s="4"/>
    </row>
    <row r="72" spans="1:5" ht="15" customHeight="1" x14ac:dyDescent="0.25">
      <c r="A72" s="4"/>
      <c r="B72" s="4"/>
      <c r="C72" s="4"/>
      <c r="D72" s="4"/>
      <c r="E72" s="4"/>
    </row>
    <row r="73" spans="1:5" ht="15" customHeight="1" x14ac:dyDescent="0.25">
      <c r="A73" s="4"/>
      <c r="B73" s="4"/>
      <c r="C73" s="4"/>
      <c r="D73" s="4"/>
      <c r="E73" s="4"/>
    </row>
    <row r="74" spans="1:5" ht="15" customHeight="1" x14ac:dyDescent="0.25">
      <c r="A74" s="4"/>
      <c r="B74" s="4"/>
      <c r="C74" s="4"/>
      <c r="D74" s="4"/>
      <c r="E74" s="4"/>
    </row>
    <row r="75" spans="1:5" ht="15" customHeight="1" x14ac:dyDescent="0.25">
      <c r="A75" s="4"/>
      <c r="B75" s="4"/>
      <c r="C75" s="4"/>
      <c r="D75" s="4"/>
      <c r="E75" s="4"/>
    </row>
    <row r="76" spans="1:5" ht="15" customHeight="1" x14ac:dyDescent="0.25">
      <c r="A76" s="4"/>
      <c r="B76" s="4"/>
      <c r="C76" s="4"/>
      <c r="D76" s="4"/>
      <c r="E76" s="4"/>
    </row>
    <row r="77" spans="1:5" ht="15" customHeight="1" x14ac:dyDescent="0.25">
      <c r="A77" s="4"/>
      <c r="B77" s="4"/>
      <c r="C77" s="4"/>
      <c r="D77" s="4"/>
      <c r="E77" s="4"/>
    </row>
    <row r="78" spans="1:5" ht="15" customHeight="1" x14ac:dyDescent="0.25">
      <c r="A78" s="4"/>
      <c r="B78" s="4"/>
      <c r="C78" s="4"/>
      <c r="D78" s="4"/>
      <c r="E78" s="4"/>
    </row>
    <row r="79" spans="1:5" ht="15" customHeight="1" x14ac:dyDescent="0.25">
      <c r="A79" s="4"/>
      <c r="B79" s="4"/>
      <c r="C79" s="4"/>
      <c r="D79" s="4"/>
      <c r="E79" s="4"/>
    </row>
    <row r="80" spans="1:5" ht="15" customHeight="1" x14ac:dyDescent="0.25">
      <c r="A80" s="4"/>
      <c r="B80" s="4"/>
      <c r="C80" s="4"/>
      <c r="D80" s="4"/>
      <c r="E80" s="4"/>
    </row>
  </sheetData>
  <mergeCells count="9">
    <mergeCell ref="B55:E55"/>
    <mergeCell ref="C61:D61"/>
    <mergeCell ref="C62:D62"/>
    <mergeCell ref="C63:D63"/>
    <mergeCell ref="B3:F3"/>
    <mergeCell ref="B5:E5"/>
    <mergeCell ref="B18:E18"/>
    <mergeCell ref="B29:E29"/>
    <mergeCell ref="B42:E4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H28"/>
  <sheetViews>
    <sheetView zoomScaleNormal="100" workbookViewId="0">
      <selection activeCell="B28" sqref="B25:B28"/>
    </sheetView>
  </sheetViews>
  <sheetFormatPr defaultColWidth="8.6640625" defaultRowHeight="13.8" x14ac:dyDescent="0.25"/>
  <cols>
    <col min="1" max="1" width="2" style="34" customWidth="1"/>
    <col min="2" max="2" width="28" style="34" customWidth="1"/>
    <col min="3" max="8" width="14" style="34" customWidth="1"/>
    <col min="9" max="16384" width="8.6640625" style="34"/>
  </cols>
  <sheetData>
    <row r="2" spans="2:8" ht="17.25" customHeight="1" x14ac:dyDescent="0.3">
      <c r="B2" s="80" t="s">
        <v>370</v>
      </c>
    </row>
    <row r="3" spans="2:8" ht="15" customHeight="1" x14ac:dyDescent="0.25">
      <c r="B3" s="91" t="s">
        <v>371</v>
      </c>
      <c r="C3" s="91"/>
      <c r="D3" s="91"/>
      <c r="E3" s="91"/>
      <c r="F3" s="91"/>
      <c r="G3" s="91"/>
      <c r="H3" s="91"/>
    </row>
    <row r="5" spans="2:8" ht="15" customHeight="1" x14ac:dyDescent="0.25">
      <c r="B5" s="2" t="s">
        <v>372</v>
      </c>
      <c r="C5" s="2"/>
      <c r="D5" s="2"/>
      <c r="E5" s="2"/>
      <c r="F5" s="2"/>
      <c r="G5" s="2"/>
      <c r="H5" s="2"/>
    </row>
    <row r="6" spans="2:8" ht="15" customHeight="1" x14ac:dyDescent="0.25">
      <c r="B6" s="9" t="s">
        <v>176</v>
      </c>
      <c r="C6" s="63" t="s">
        <v>373</v>
      </c>
      <c r="D6" s="63" t="s">
        <v>374</v>
      </c>
      <c r="E6" s="63" t="s">
        <v>375</v>
      </c>
      <c r="F6" s="63" t="s">
        <v>376</v>
      </c>
      <c r="G6" s="63"/>
      <c r="H6" s="63"/>
    </row>
    <row r="7" spans="2:8" ht="15" customHeight="1" x14ac:dyDescent="0.25">
      <c r="B7" s="4" t="s">
        <v>183</v>
      </c>
      <c r="C7" s="92">
        <v>1.05</v>
      </c>
      <c r="D7" s="48">
        <v>0.05</v>
      </c>
      <c r="E7" s="48">
        <v>0.21</v>
      </c>
      <c r="F7" s="93">
        <f t="shared" ref="F7:F13" si="0">C7/(1+(1-E7)*D7)</f>
        <v>1.0101010101010102</v>
      </c>
    </row>
    <row r="8" spans="2:8" ht="15" customHeight="1" x14ac:dyDescent="0.25">
      <c r="B8" s="4" t="s">
        <v>184</v>
      </c>
      <c r="C8" s="92">
        <v>1.1000000000000001</v>
      </c>
      <c r="D8" s="48">
        <v>0.03</v>
      </c>
      <c r="E8" s="48">
        <v>0.21</v>
      </c>
      <c r="F8" s="93">
        <f t="shared" si="0"/>
        <v>1.0745335547523689</v>
      </c>
    </row>
    <row r="9" spans="2:8" ht="15" customHeight="1" x14ac:dyDescent="0.25">
      <c r="B9" s="4" t="s">
        <v>185</v>
      </c>
      <c r="C9" s="92">
        <v>1.1499999999999999</v>
      </c>
      <c r="D9" s="48">
        <v>0.02</v>
      </c>
      <c r="E9" s="48">
        <v>0.21</v>
      </c>
      <c r="F9" s="93">
        <f t="shared" si="0"/>
        <v>1.132112620594605</v>
      </c>
    </row>
    <row r="10" spans="2:8" ht="15" customHeight="1" x14ac:dyDescent="0.25">
      <c r="B10" s="4" t="s">
        <v>186</v>
      </c>
      <c r="C10" s="92">
        <v>1.25</v>
      </c>
      <c r="D10" s="48">
        <v>0.01</v>
      </c>
      <c r="E10" s="48">
        <v>0.21</v>
      </c>
      <c r="F10" s="93">
        <f t="shared" si="0"/>
        <v>1.2402024010318484</v>
      </c>
    </row>
    <row r="11" spans="2:8" ht="15" customHeight="1" x14ac:dyDescent="0.25">
      <c r="B11" s="4" t="s">
        <v>377</v>
      </c>
      <c r="C11" s="92">
        <v>1.1000000000000001</v>
      </c>
      <c r="D11" s="48">
        <v>0.08</v>
      </c>
      <c r="E11" s="48">
        <v>0.21</v>
      </c>
      <c r="F11" s="93">
        <f t="shared" si="0"/>
        <v>1.0346124905944321</v>
      </c>
    </row>
    <row r="12" spans="2:8" ht="15" customHeight="1" x14ac:dyDescent="0.25">
      <c r="B12" s="4" t="s">
        <v>378</v>
      </c>
      <c r="C12" s="92">
        <v>1.05</v>
      </c>
      <c r="D12" s="48">
        <v>0.1</v>
      </c>
      <c r="E12" s="48">
        <v>0.21</v>
      </c>
      <c r="F12" s="93">
        <f t="shared" si="0"/>
        <v>0.97312326227988888</v>
      </c>
    </row>
    <row r="13" spans="2:8" ht="15" customHeight="1" x14ac:dyDescent="0.25">
      <c r="B13" s="4" t="s">
        <v>379</v>
      </c>
      <c r="C13" s="92">
        <v>1.2</v>
      </c>
      <c r="D13" s="48">
        <v>0.04</v>
      </c>
      <c r="E13" s="48">
        <v>0.21</v>
      </c>
      <c r="F13" s="93">
        <f t="shared" si="0"/>
        <v>1.1632415664986429</v>
      </c>
    </row>
    <row r="14" spans="2:8" ht="15" customHeight="1" x14ac:dyDescent="0.25">
      <c r="B14" s="53" t="s">
        <v>226</v>
      </c>
      <c r="C14" s="94">
        <f>MEDIAN(C7:C13)</f>
        <v>1.1000000000000001</v>
      </c>
      <c r="D14" s="95">
        <f>MEDIAN(D7:D13)</f>
        <v>0.04</v>
      </c>
      <c r="E14" s="95">
        <f>MEDIAN(E7:E13)</f>
        <v>0.21</v>
      </c>
      <c r="F14" s="94">
        <f>MEDIAN(F7:F13)</f>
        <v>1.0745335547523689</v>
      </c>
    </row>
    <row r="16" spans="2:8" ht="15" customHeight="1" x14ac:dyDescent="0.25">
      <c r="B16" s="2" t="s">
        <v>380</v>
      </c>
      <c r="C16" s="2"/>
      <c r="D16" s="2"/>
      <c r="E16" s="2"/>
      <c r="F16" s="2"/>
      <c r="G16" s="2"/>
      <c r="H16" s="2"/>
    </row>
    <row r="17" spans="2:3" ht="15" customHeight="1" x14ac:dyDescent="0.25">
      <c r="B17" s="4" t="s">
        <v>381</v>
      </c>
      <c r="C17" s="96">
        <f>F14</f>
        <v>1.0745335547523689</v>
      </c>
    </row>
    <row r="18" spans="2:3" ht="15" customHeight="1" x14ac:dyDescent="0.25">
      <c r="B18" s="4" t="s">
        <v>382</v>
      </c>
      <c r="C18" s="65">
        <f>Assumptions!C46/Assumptions!C45</f>
        <v>5.2631578947368474E-2</v>
      </c>
    </row>
    <row r="19" spans="2:3" ht="15" customHeight="1" x14ac:dyDescent="0.25">
      <c r="B19" s="4" t="s">
        <v>383</v>
      </c>
      <c r="C19" s="65">
        <f>Assumptions!C43</f>
        <v>0.21</v>
      </c>
    </row>
    <row r="20" spans="2:3" ht="15" customHeight="1" x14ac:dyDescent="0.25">
      <c r="B20" s="13" t="s">
        <v>384</v>
      </c>
      <c r="C20" s="97">
        <f>C17*(1+(1-C19)*C18)</f>
        <v>1.11921152887102</v>
      </c>
    </row>
    <row r="21" spans="2:3" ht="15" customHeight="1" x14ac:dyDescent="0.25">
      <c r="B21" s="4" t="s">
        <v>385</v>
      </c>
      <c r="C21" s="96">
        <f>Assumptions!C40</f>
        <v>1.1000000000000001</v>
      </c>
    </row>
    <row r="22" spans="2:3" ht="15" customHeight="1" x14ac:dyDescent="0.25">
      <c r="B22" s="18" t="s">
        <v>386</v>
      </c>
      <c r="C22" s="93">
        <f>C21-C20</f>
        <v>-1.9211528871019956E-2</v>
      </c>
    </row>
    <row r="25" spans="2:3" ht="15" customHeight="1" x14ac:dyDescent="0.25">
      <c r="B25" s="13" t="s">
        <v>387</v>
      </c>
    </row>
    <row r="26" spans="2:3" ht="15" customHeight="1" x14ac:dyDescent="0.25">
      <c r="B26" s="18" t="s">
        <v>388</v>
      </c>
    </row>
    <row r="27" spans="2:3" ht="15" customHeight="1" x14ac:dyDescent="0.25">
      <c r="B27" s="18" t="s">
        <v>389</v>
      </c>
    </row>
    <row r="28" spans="2:3" ht="15" customHeight="1" x14ac:dyDescent="0.25">
      <c r="B28" s="18" t="s">
        <v>390</v>
      </c>
    </row>
  </sheetData>
  <mergeCells count="3">
    <mergeCell ref="B3:H3"/>
    <mergeCell ref="B5:H5"/>
    <mergeCell ref="B16:H1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E34"/>
  <sheetViews>
    <sheetView topLeftCell="A21" zoomScaleNormal="100" workbookViewId="0">
      <selection activeCell="D27" sqref="D27:D40"/>
    </sheetView>
  </sheetViews>
  <sheetFormatPr defaultColWidth="8.6640625" defaultRowHeight="13.8" x14ac:dyDescent="0.25"/>
  <cols>
    <col min="1" max="1" width="2" style="34" customWidth="1"/>
    <col min="2" max="2" width="40" style="34" customWidth="1"/>
    <col min="3" max="4" width="16" style="34" customWidth="1"/>
    <col min="5" max="5" width="32" style="18" customWidth="1"/>
    <col min="6" max="16384" width="8.6640625" style="34"/>
  </cols>
  <sheetData>
    <row r="2" spans="2:5" ht="17.25" customHeight="1" x14ac:dyDescent="0.3">
      <c r="B2" s="80" t="s">
        <v>391</v>
      </c>
    </row>
    <row r="3" spans="2:5" ht="52.8" x14ac:dyDescent="0.25">
      <c r="B3" s="98" t="s">
        <v>392</v>
      </c>
    </row>
    <row r="5" spans="2:5" ht="15" customHeight="1" x14ac:dyDescent="0.25">
      <c r="B5" s="2" t="s">
        <v>393</v>
      </c>
      <c r="C5" s="2"/>
      <c r="D5" s="2"/>
      <c r="E5" s="2"/>
    </row>
    <row r="6" spans="2:5" ht="15" customHeight="1" x14ac:dyDescent="0.25">
      <c r="B6" s="9" t="s">
        <v>394</v>
      </c>
      <c r="C6" s="63" t="s">
        <v>395</v>
      </c>
      <c r="D6" s="63" t="s">
        <v>396</v>
      </c>
      <c r="E6" s="78" t="s">
        <v>44</v>
      </c>
    </row>
    <row r="7" spans="2:5" ht="15" customHeight="1" x14ac:dyDescent="0.25">
      <c r="B7" s="4" t="s">
        <v>397</v>
      </c>
      <c r="C7" s="64">
        <f>Assumptions!C32</f>
        <v>8000</v>
      </c>
      <c r="D7" s="49">
        <f>C7/$C$11</f>
        <v>0.50444542531054926</v>
      </c>
      <c r="E7" s="18" t="s">
        <v>398</v>
      </c>
    </row>
    <row r="8" spans="2:5" ht="15" customHeight="1" x14ac:dyDescent="0.25">
      <c r="B8" s="4" t="s">
        <v>399</v>
      </c>
      <c r="C8" s="64">
        <f>Assumptions!C27</f>
        <v>4709.7000000000007</v>
      </c>
      <c r="D8" s="49">
        <f>C8/$C$11</f>
        <v>0.29697332744813676</v>
      </c>
      <c r="E8" s="18" t="s">
        <v>400</v>
      </c>
    </row>
    <row r="9" spans="2:5" ht="15" customHeight="1" x14ac:dyDescent="0.25">
      <c r="B9" s="4" t="s">
        <v>401</v>
      </c>
      <c r="C9" s="66">
        <f>C20-C7-C8</f>
        <v>3149.2999999999993</v>
      </c>
      <c r="D9" s="49">
        <f>C9/$C$11</f>
        <v>0.19858124724131404</v>
      </c>
      <c r="E9" s="18" t="s">
        <v>402</v>
      </c>
    </row>
    <row r="11" spans="2:5" ht="15" customHeight="1" x14ac:dyDescent="0.25">
      <c r="B11" s="53" t="s">
        <v>403</v>
      </c>
      <c r="C11" s="83">
        <f>SUM(C7:C10)</f>
        <v>15859</v>
      </c>
      <c r="D11" s="95">
        <f>SUM(D7:D10)</f>
        <v>1</v>
      </c>
    </row>
    <row r="14" spans="2:5" ht="15" customHeight="1" x14ac:dyDescent="0.25">
      <c r="B14" s="2" t="s">
        <v>404</v>
      </c>
      <c r="C14" s="2"/>
      <c r="D14" s="2"/>
      <c r="E14" s="2"/>
    </row>
    <row r="15" spans="2:5" ht="15" customHeight="1" x14ac:dyDescent="0.25">
      <c r="B15" s="9" t="s">
        <v>405</v>
      </c>
      <c r="C15" s="63" t="s">
        <v>395</v>
      </c>
      <c r="D15" s="63" t="s">
        <v>396</v>
      </c>
      <c r="E15" s="78" t="s">
        <v>44</v>
      </c>
    </row>
    <row r="16" spans="2:5" ht="15" customHeight="1" x14ac:dyDescent="0.25">
      <c r="B16" s="4" t="s">
        <v>406</v>
      </c>
      <c r="C16" s="64">
        <f>Assumptions!C11</f>
        <v>15699</v>
      </c>
      <c r="D16" s="49">
        <f>C16/$C$20</f>
        <v>0.98991109149378897</v>
      </c>
      <c r="E16" s="18" t="s">
        <v>407</v>
      </c>
    </row>
    <row r="17" spans="2:5" ht="15" customHeight="1" x14ac:dyDescent="0.25">
      <c r="B17" s="4" t="s">
        <v>408</v>
      </c>
      <c r="C17" s="64">
        <f>Assumptions!C32*0.01</f>
        <v>80</v>
      </c>
      <c r="D17" s="49">
        <f>C17/$C$20</f>
        <v>5.0444542531054917E-3</v>
      </c>
      <c r="E17" s="18" t="s">
        <v>409</v>
      </c>
    </row>
    <row r="18" spans="2:5" ht="15" customHeight="1" x14ac:dyDescent="0.25">
      <c r="B18" s="4" t="s">
        <v>410</v>
      </c>
      <c r="C18" s="85">
        <f>50</f>
        <v>50</v>
      </c>
      <c r="D18" s="49">
        <f>C18/$C$20</f>
        <v>3.1527839081909328E-3</v>
      </c>
      <c r="E18" s="18" t="s">
        <v>411</v>
      </c>
    </row>
    <row r="19" spans="2:5" ht="15" customHeight="1" x14ac:dyDescent="0.25">
      <c r="B19" s="4" t="s">
        <v>412</v>
      </c>
      <c r="C19" s="85">
        <f>30</f>
        <v>30</v>
      </c>
      <c r="D19" s="49">
        <f>C19/$C$20</f>
        <v>1.8916703449145596E-3</v>
      </c>
      <c r="E19" s="18" t="s">
        <v>413</v>
      </c>
    </row>
    <row r="20" spans="2:5" ht="15" customHeight="1" x14ac:dyDescent="0.25">
      <c r="B20" s="53" t="s">
        <v>414</v>
      </c>
      <c r="C20" s="83">
        <f>SUM(C16:C19)</f>
        <v>15859</v>
      </c>
    </row>
    <row r="22" spans="2:5" ht="15" customHeight="1" x14ac:dyDescent="0.25">
      <c r="B22" s="13" t="s">
        <v>415</v>
      </c>
      <c r="C22" s="99">
        <f>C11-C20</f>
        <v>0</v>
      </c>
    </row>
    <row r="25" spans="2:5" ht="15" customHeight="1" x14ac:dyDescent="0.25">
      <c r="B25" s="2" t="s">
        <v>416</v>
      </c>
      <c r="C25" s="2"/>
      <c r="D25" s="2"/>
      <c r="E25" s="2"/>
    </row>
    <row r="27" spans="2:5" ht="15" customHeight="1" x14ac:dyDescent="0.25">
      <c r="B27" s="4" t="s">
        <v>417</v>
      </c>
      <c r="C27" s="85">
        <v>1000</v>
      </c>
      <c r="E27" s="18" t="s">
        <v>418</v>
      </c>
    </row>
    <row r="28" spans="2:5" ht="15" customHeight="1" x14ac:dyDescent="0.25">
      <c r="B28" s="4" t="s">
        <v>419</v>
      </c>
      <c r="C28" s="64">
        <f>Assumptions!C32</f>
        <v>8000</v>
      </c>
    </row>
    <row r="29" spans="2:5" ht="15" customHeight="1" x14ac:dyDescent="0.25">
      <c r="B29" s="4" t="s">
        <v>420</v>
      </c>
      <c r="C29" s="66">
        <f>C27+C28</f>
        <v>9000</v>
      </c>
    </row>
    <row r="30" spans="2:5" ht="15" customHeight="1" x14ac:dyDescent="0.25">
      <c r="B30" s="4" t="s">
        <v>421</v>
      </c>
      <c r="C30" s="85">
        <v>7000</v>
      </c>
      <c r="E30" s="18" t="s">
        <v>422</v>
      </c>
    </row>
    <row r="31" spans="2:5" ht="15" customHeight="1" x14ac:dyDescent="0.25">
      <c r="B31" s="4" t="s">
        <v>423</v>
      </c>
      <c r="C31" s="66">
        <f>C29-C30</f>
        <v>2000</v>
      </c>
    </row>
    <row r="32" spans="2:5" ht="15" customHeight="1" x14ac:dyDescent="0.25">
      <c r="B32" s="4" t="s">
        <v>424</v>
      </c>
      <c r="C32" s="64">
        <f>253000+Assumptions!C27</f>
        <v>257709.7</v>
      </c>
      <c r="E32" s="18" t="s">
        <v>425</v>
      </c>
    </row>
    <row r="33" spans="2:5" ht="15" customHeight="1" x14ac:dyDescent="0.25">
      <c r="B33" s="4" t="s">
        <v>426</v>
      </c>
      <c r="C33" s="66">
        <f>C31+C32</f>
        <v>259709.7</v>
      </c>
    </row>
    <row r="34" spans="2:5" ht="15" customHeight="1" x14ac:dyDescent="0.25">
      <c r="B34" s="4" t="s">
        <v>427</v>
      </c>
      <c r="C34" s="100">
        <f>C31/12000</f>
        <v>0.16666666666666666</v>
      </c>
      <c r="E34" s="18" t="s">
        <v>428</v>
      </c>
    </row>
  </sheetData>
  <mergeCells count="3">
    <mergeCell ref="B5:E5"/>
    <mergeCell ref="B14:E14"/>
    <mergeCell ref="B25:E25"/>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K38"/>
  <sheetViews>
    <sheetView topLeftCell="A3" zoomScaleNormal="100" workbookViewId="0">
      <selection activeCell="E9" sqref="E9"/>
    </sheetView>
  </sheetViews>
  <sheetFormatPr defaultColWidth="8.6640625" defaultRowHeight="13.8" x14ac:dyDescent="0.25"/>
  <cols>
    <col min="1" max="1" width="2" style="34" customWidth="1"/>
    <col min="2" max="2" width="40" style="34" customWidth="1"/>
    <col min="3" max="3" width="16" style="34" customWidth="1"/>
    <col min="4" max="4" width="12" style="34" customWidth="1"/>
    <col min="5" max="5" width="40.21875" style="34" bestFit="1" customWidth="1"/>
    <col min="6" max="11" width="12" style="34" customWidth="1"/>
    <col min="12" max="16384" width="8.6640625" style="34"/>
  </cols>
  <sheetData>
    <row r="2" spans="2:11" ht="17.25" customHeight="1" x14ac:dyDescent="0.3">
      <c r="B2" s="80" t="s">
        <v>429</v>
      </c>
    </row>
    <row r="3" spans="2:11" ht="52.8" x14ac:dyDescent="0.25">
      <c r="B3" s="98" t="s">
        <v>430</v>
      </c>
      <c r="C3" s="79"/>
      <c r="D3" s="79"/>
      <c r="E3" s="79"/>
      <c r="F3" s="79"/>
      <c r="G3" s="79"/>
      <c r="H3" s="79"/>
      <c r="I3" s="79"/>
      <c r="J3" s="79"/>
      <c r="K3" s="79"/>
    </row>
    <row r="4" spans="2:11" x14ac:dyDescent="0.25">
      <c r="B4" s="79"/>
      <c r="C4" s="79"/>
      <c r="D4" s="79"/>
      <c r="E4" s="79"/>
      <c r="F4" s="79"/>
      <c r="G4" s="79"/>
      <c r="H4" s="79"/>
      <c r="I4" s="79"/>
      <c r="J4" s="79"/>
      <c r="K4" s="79"/>
    </row>
    <row r="5" spans="2:11" ht="15" customHeight="1" x14ac:dyDescent="0.25">
      <c r="B5" s="2" t="s">
        <v>431</v>
      </c>
      <c r="C5" s="2"/>
      <c r="D5" s="2"/>
      <c r="E5" s="2"/>
      <c r="F5" s="79"/>
      <c r="G5" s="79"/>
      <c r="H5" s="79"/>
      <c r="I5" s="79"/>
      <c r="J5" s="79"/>
      <c r="K5" s="79"/>
    </row>
    <row r="6" spans="2:11" x14ac:dyDescent="0.25">
      <c r="B6" s="79"/>
      <c r="C6" s="79"/>
      <c r="D6" s="79"/>
      <c r="E6" s="79"/>
      <c r="F6" s="79"/>
      <c r="G6" s="79"/>
      <c r="H6" s="79"/>
      <c r="I6" s="79"/>
      <c r="J6" s="79"/>
      <c r="K6" s="79"/>
    </row>
    <row r="7" spans="2:11" ht="15" customHeight="1" x14ac:dyDescent="0.25">
      <c r="B7" s="4" t="s">
        <v>432</v>
      </c>
      <c r="C7" s="64">
        <f>Assumptions!C11</f>
        <v>15699</v>
      </c>
      <c r="D7" s="79"/>
      <c r="E7" s="79"/>
      <c r="F7" s="79"/>
      <c r="G7" s="79"/>
      <c r="H7" s="79"/>
      <c r="I7" s="79"/>
      <c r="J7" s="79"/>
      <c r="K7" s="79"/>
    </row>
    <row r="8" spans="2:11" ht="15" customHeight="1" x14ac:dyDescent="0.25">
      <c r="B8" s="4" t="s">
        <v>433</v>
      </c>
      <c r="C8" s="64">
        <f>-Assumptions!C13</f>
        <v>-1900</v>
      </c>
      <c r="D8" s="79"/>
      <c r="E8" s="79"/>
      <c r="F8" s="79"/>
      <c r="G8" s="79"/>
      <c r="H8" s="79"/>
      <c r="I8" s="79"/>
      <c r="J8" s="79"/>
      <c r="K8" s="79"/>
    </row>
    <row r="9" spans="2:11" ht="15" customHeight="1" x14ac:dyDescent="0.25">
      <c r="B9" s="4" t="s">
        <v>434</v>
      </c>
      <c r="C9" s="66">
        <f>C7+C8</f>
        <v>13799</v>
      </c>
      <c r="D9" s="79"/>
      <c r="E9" s="18" t="s">
        <v>435</v>
      </c>
      <c r="F9" s="79"/>
      <c r="G9" s="79"/>
      <c r="H9" s="79"/>
      <c r="I9" s="79"/>
      <c r="J9" s="79"/>
      <c r="K9" s="79"/>
    </row>
    <row r="10" spans="2:11" ht="15" customHeight="1" x14ac:dyDescent="0.25">
      <c r="B10" s="4" t="s">
        <v>436</v>
      </c>
      <c r="C10" s="85">
        <v>-800</v>
      </c>
      <c r="D10" s="79"/>
      <c r="E10" s="18" t="s">
        <v>437</v>
      </c>
      <c r="F10" s="79"/>
      <c r="G10" s="79"/>
      <c r="H10" s="79"/>
      <c r="I10" s="79"/>
      <c r="J10" s="79"/>
      <c r="K10" s="79"/>
    </row>
    <row r="11" spans="2:11" ht="15" customHeight="1" x14ac:dyDescent="0.25">
      <c r="B11" s="13" t="s">
        <v>438</v>
      </c>
      <c r="C11" s="83">
        <f>C9+C10</f>
        <v>12999</v>
      </c>
      <c r="D11" s="79"/>
      <c r="E11" s="79"/>
      <c r="F11" s="79"/>
      <c r="G11" s="79"/>
      <c r="H11" s="79"/>
      <c r="I11" s="79"/>
      <c r="J11" s="79"/>
      <c r="K11" s="79"/>
    </row>
    <row r="12" spans="2:11" x14ac:dyDescent="0.25">
      <c r="B12" s="79"/>
      <c r="C12" s="79"/>
      <c r="D12" s="79"/>
      <c r="E12" s="79"/>
      <c r="F12" s="79"/>
      <c r="G12" s="79"/>
      <c r="H12" s="79"/>
      <c r="I12" s="79"/>
      <c r="J12" s="79"/>
      <c r="K12" s="79"/>
    </row>
    <row r="13" spans="2:11" x14ac:dyDescent="0.25">
      <c r="B13" s="79"/>
      <c r="C13" s="79"/>
      <c r="D13" s="79"/>
      <c r="E13" s="79"/>
      <c r="F13" s="79"/>
      <c r="G13" s="79"/>
      <c r="H13" s="79"/>
      <c r="I13" s="79"/>
      <c r="J13" s="79"/>
      <c r="K13" s="79"/>
    </row>
    <row r="14" spans="2:11" ht="15" customHeight="1" x14ac:dyDescent="0.25">
      <c r="B14" s="2" t="s">
        <v>439</v>
      </c>
      <c r="C14" s="2"/>
      <c r="D14" s="2"/>
      <c r="E14" s="2"/>
      <c r="F14" s="2"/>
      <c r="G14" s="79"/>
      <c r="H14" s="79"/>
      <c r="I14" s="79"/>
      <c r="J14" s="79"/>
      <c r="K14" s="79"/>
    </row>
    <row r="15" spans="2:11" ht="15" customHeight="1" x14ac:dyDescent="0.25">
      <c r="B15" s="9" t="s">
        <v>440</v>
      </c>
      <c r="C15" s="63" t="s">
        <v>441</v>
      </c>
      <c r="D15" s="63" t="s">
        <v>442</v>
      </c>
      <c r="E15" s="63" t="s">
        <v>443</v>
      </c>
      <c r="F15" s="63" t="s">
        <v>444</v>
      </c>
      <c r="G15" s="79"/>
      <c r="H15" s="79"/>
      <c r="I15" s="79"/>
      <c r="J15" s="79"/>
      <c r="K15" s="79"/>
    </row>
    <row r="16" spans="2:11" ht="15" customHeight="1" x14ac:dyDescent="0.25">
      <c r="B16" s="4" t="s">
        <v>445</v>
      </c>
      <c r="C16" s="85">
        <v>2500</v>
      </c>
      <c r="D16" s="68">
        <v>10</v>
      </c>
      <c r="E16" s="66">
        <f>C16/D16</f>
        <v>250</v>
      </c>
      <c r="F16" s="49">
        <f>C16/$C$11</f>
        <v>0.19232248634510346</v>
      </c>
      <c r="G16" s="79"/>
      <c r="H16" s="79"/>
      <c r="I16" s="79"/>
      <c r="J16" s="79"/>
      <c r="K16" s="79"/>
    </row>
    <row r="17" spans="2:11" ht="15" customHeight="1" x14ac:dyDescent="0.25">
      <c r="B17" s="4" t="s">
        <v>446</v>
      </c>
      <c r="C17" s="85">
        <v>1200</v>
      </c>
      <c r="D17" s="68">
        <v>5</v>
      </c>
      <c r="E17" s="66">
        <f>C17/D17</f>
        <v>240</v>
      </c>
      <c r="F17" s="49">
        <f>C17/$C$11</f>
        <v>9.2314793445649662E-2</v>
      </c>
      <c r="G17" s="79"/>
      <c r="H17" s="79"/>
      <c r="I17" s="79"/>
      <c r="J17" s="79"/>
      <c r="K17" s="79"/>
    </row>
    <row r="18" spans="2:11" ht="15" customHeight="1" x14ac:dyDescent="0.25">
      <c r="B18" s="4" t="s">
        <v>447</v>
      </c>
      <c r="C18" s="85">
        <v>500</v>
      </c>
      <c r="D18" s="101" t="s">
        <v>448</v>
      </c>
      <c r="E18" s="101" t="s">
        <v>192</v>
      </c>
      <c r="F18" s="49">
        <f>C18/$C$11</f>
        <v>3.8464497269020695E-2</v>
      </c>
      <c r="G18" s="79"/>
      <c r="H18" s="79"/>
      <c r="I18" s="79"/>
      <c r="J18" s="79"/>
      <c r="K18" s="79"/>
    </row>
    <row r="19" spans="2:11" ht="15" customHeight="1" x14ac:dyDescent="0.25">
      <c r="B19" s="119" t="s">
        <v>449</v>
      </c>
      <c r="C19" s="85">
        <v>200</v>
      </c>
      <c r="D19" s="68" t="s">
        <v>192</v>
      </c>
      <c r="E19" s="102" t="s">
        <v>450</v>
      </c>
      <c r="F19" s="49"/>
      <c r="G19" s="79"/>
      <c r="H19" s="79"/>
      <c r="I19" s="79"/>
      <c r="J19" s="79"/>
      <c r="K19" s="79"/>
    </row>
    <row r="20" spans="2:11" ht="15" customHeight="1" x14ac:dyDescent="0.25">
      <c r="B20" s="4" t="s">
        <v>451</v>
      </c>
      <c r="C20" s="85">
        <v>200</v>
      </c>
      <c r="D20" s="68">
        <v>3</v>
      </c>
      <c r="E20" s="66">
        <f>C20/D20</f>
        <v>66.666666666666671</v>
      </c>
      <c r="F20" s="49">
        <f>C20/$C$11</f>
        <v>1.5385798907608278E-2</v>
      </c>
      <c r="G20" s="79"/>
      <c r="H20" s="79"/>
      <c r="I20" s="79"/>
      <c r="J20" s="79"/>
      <c r="K20" s="79"/>
    </row>
    <row r="21" spans="2:11" ht="15" customHeight="1" x14ac:dyDescent="0.25">
      <c r="B21" s="53" t="s">
        <v>452</v>
      </c>
      <c r="C21" s="103">
        <f>C16+C17+C18+C20</f>
        <v>4400</v>
      </c>
      <c r="D21" s="79"/>
      <c r="E21" s="103">
        <f>E16+E17+E20</f>
        <v>556.66666666666663</v>
      </c>
      <c r="F21" s="79"/>
      <c r="G21" s="79"/>
      <c r="H21" s="79"/>
      <c r="I21" s="79"/>
      <c r="J21" s="79"/>
      <c r="K21" s="79"/>
    </row>
    <row r="22" spans="2:11" ht="15" customHeight="1" x14ac:dyDescent="0.25">
      <c r="B22" s="13" t="s">
        <v>453</v>
      </c>
      <c r="C22" s="66">
        <f>C11-C21</f>
        <v>8599</v>
      </c>
      <c r="D22" s="79"/>
      <c r="E22" s="18" t="s">
        <v>454</v>
      </c>
      <c r="F22" s="79"/>
      <c r="G22" s="79"/>
      <c r="H22" s="79"/>
      <c r="I22" s="79"/>
      <c r="J22" s="79"/>
      <c r="K22" s="79"/>
    </row>
    <row r="23" spans="2:11" x14ac:dyDescent="0.25">
      <c r="B23" s="79"/>
      <c r="C23" s="79"/>
      <c r="D23" s="79"/>
      <c r="E23" s="79"/>
      <c r="F23" s="79"/>
      <c r="G23" s="79"/>
      <c r="H23" s="79"/>
      <c r="I23" s="79"/>
      <c r="J23" s="79"/>
      <c r="K23" s="79"/>
    </row>
    <row r="24" spans="2:11" x14ac:dyDescent="0.25">
      <c r="B24" s="79"/>
      <c r="C24" s="79"/>
      <c r="D24" s="79"/>
      <c r="E24" s="79"/>
      <c r="F24" s="79"/>
      <c r="G24" s="79"/>
      <c r="H24" s="79"/>
      <c r="I24" s="79"/>
      <c r="J24" s="79"/>
      <c r="K24" s="79"/>
    </row>
    <row r="25" spans="2:11" ht="15" customHeight="1" x14ac:dyDescent="0.25">
      <c r="B25" s="2" t="s">
        <v>455</v>
      </c>
      <c r="C25" s="2"/>
      <c r="D25" s="2"/>
      <c r="E25" s="2"/>
      <c r="F25" s="2"/>
      <c r="G25" s="2"/>
      <c r="H25" s="2"/>
      <c r="I25" s="2"/>
      <c r="J25" s="2"/>
      <c r="K25" s="2"/>
    </row>
    <row r="26" spans="2:11" ht="15" customHeight="1" x14ac:dyDescent="0.25">
      <c r="B26" s="9" t="s">
        <v>440</v>
      </c>
      <c r="C26" s="63" t="s">
        <v>456</v>
      </c>
      <c r="D26" s="63" t="s">
        <v>457</v>
      </c>
      <c r="E26" s="63" t="s">
        <v>458</v>
      </c>
      <c r="F26" s="63" t="s">
        <v>459</v>
      </c>
      <c r="G26" s="63" t="s">
        <v>460</v>
      </c>
      <c r="H26" s="63" t="s">
        <v>461</v>
      </c>
      <c r="I26" s="63" t="s">
        <v>462</v>
      </c>
      <c r="J26" s="63" t="s">
        <v>463</v>
      </c>
      <c r="K26" s="79"/>
    </row>
    <row r="27" spans="2:11" ht="15" customHeight="1" x14ac:dyDescent="0.25">
      <c r="B27" s="4" t="s">
        <v>445</v>
      </c>
      <c r="C27" s="66">
        <f t="shared" ref="C27:J27" si="0">$C$16/$D$16</f>
        <v>250</v>
      </c>
      <c r="D27" s="66">
        <f t="shared" si="0"/>
        <v>250</v>
      </c>
      <c r="E27" s="66">
        <f t="shared" si="0"/>
        <v>250</v>
      </c>
      <c r="F27" s="66">
        <f t="shared" si="0"/>
        <v>250</v>
      </c>
      <c r="G27" s="66">
        <f t="shared" si="0"/>
        <v>250</v>
      </c>
      <c r="H27" s="66">
        <f t="shared" si="0"/>
        <v>250</v>
      </c>
      <c r="I27" s="66">
        <f t="shared" si="0"/>
        <v>250</v>
      </c>
      <c r="J27" s="66">
        <f t="shared" si="0"/>
        <v>250</v>
      </c>
      <c r="K27" s="79"/>
    </row>
    <row r="28" spans="2:11" ht="15" customHeight="1" x14ac:dyDescent="0.25">
      <c r="B28" s="4" t="s">
        <v>446</v>
      </c>
      <c r="C28" s="66">
        <f>$C$17/$D$17</f>
        <v>240</v>
      </c>
      <c r="D28" s="66">
        <f>$C$17/$D$17</f>
        <v>240</v>
      </c>
      <c r="E28" s="66">
        <f>$C$17/$D$17</f>
        <v>240</v>
      </c>
      <c r="F28" s="66">
        <f>$C$17/$D$17</f>
        <v>240</v>
      </c>
      <c r="G28" s="66">
        <f>$C$17/$D$17</f>
        <v>240</v>
      </c>
      <c r="H28" s="66">
        <v>0</v>
      </c>
      <c r="I28" s="66">
        <v>0</v>
      </c>
      <c r="J28" s="66">
        <v>0</v>
      </c>
      <c r="K28" s="79"/>
    </row>
    <row r="29" spans="2:11" ht="15" customHeight="1" x14ac:dyDescent="0.25">
      <c r="B29" s="119" t="s">
        <v>464</v>
      </c>
      <c r="C29" s="104">
        <v>0</v>
      </c>
      <c r="D29" s="104">
        <v>0</v>
      </c>
      <c r="E29" s="104">
        <v>0</v>
      </c>
      <c r="F29" s="104">
        <v>0</v>
      </c>
      <c r="G29" s="104">
        <v>0</v>
      </c>
      <c r="H29" s="104">
        <v>0</v>
      </c>
      <c r="I29" s="104">
        <v>0</v>
      </c>
      <c r="J29" s="104">
        <v>0</v>
      </c>
      <c r="K29" s="79"/>
    </row>
    <row r="30" spans="2:11" ht="15" customHeight="1" x14ac:dyDescent="0.25">
      <c r="B30" s="4" t="s">
        <v>451</v>
      </c>
      <c r="C30" s="66">
        <f>$C$20/$D$20</f>
        <v>66.666666666666671</v>
      </c>
      <c r="D30" s="66">
        <f>$C$20/$D$20</f>
        <v>66.666666666666671</v>
      </c>
      <c r="E30" s="66">
        <f>$C$20/$D$20</f>
        <v>66.666666666666671</v>
      </c>
      <c r="F30" s="66">
        <v>0</v>
      </c>
      <c r="G30" s="66">
        <v>0</v>
      </c>
      <c r="H30" s="66">
        <v>0</v>
      </c>
      <c r="I30" s="66">
        <v>0</v>
      </c>
      <c r="J30" s="66">
        <v>0</v>
      </c>
      <c r="K30" s="79"/>
    </row>
    <row r="31" spans="2:11" ht="15" customHeight="1" x14ac:dyDescent="0.25">
      <c r="B31" s="53" t="s">
        <v>465</v>
      </c>
      <c r="C31" s="83">
        <f t="shared" ref="C31:J31" si="1">SUM(C27:C30)</f>
        <v>556.66666666666663</v>
      </c>
      <c r="D31" s="83">
        <f t="shared" si="1"/>
        <v>556.66666666666663</v>
      </c>
      <c r="E31" s="83">
        <f t="shared" si="1"/>
        <v>556.66666666666663</v>
      </c>
      <c r="F31" s="83">
        <f t="shared" si="1"/>
        <v>490</v>
      </c>
      <c r="G31" s="83">
        <f t="shared" si="1"/>
        <v>490</v>
      </c>
      <c r="H31" s="83">
        <f t="shared" si="1"/>
        <v>250</v>
      </c>
      <c r="I31" s="83">
        <f t="shared" si="1"/>
        <v>250</v>
      </c>
      <c r="J31" s="83">
        <f t="shared" si="1"/>
        <v>250</v>
      </c>
      <c r="K31" s="79"/>
    </row>
    <row r="32" spans="2:11" x14ac:dyDescent="0.25">
      <c r="B32" s="79"/>
      <c r="C32" s="79"/>
      <c r="D32" s="79"/>
      <c r="E32" s="79"/>
      <c r="F32" s="79"/>
      <c r="G32" s="79"/>
      <c r="H32" s="79"/>
      <c r="I32" s="79"/>
      <c r="J32" s="79"/>
      <c r="K32" s="79"/>
    </row>
    <row r="33" spans="2:11" x14ac:dyDescent="0.25">
      <c r="B33" s="79"/>
      <c r="C33" s="79"/>
      <c r="D33" s="79"/>
      <c r="E33" s="79"/>
      <c r="F33" s="79"/>
      <c r="G33" s="79"/>
      <c r="H33" s="79"/>
      <c r="I33" s="79"/>
      <c r="J33" s="79"/>
      <c r="K33" s="79"/>
    </row>
    <row r="34" spans="2:11" ht="15" customHeight="1" x14ac:dyDescent="0.25">
      <c r="B34" s="13" t="s">
        <v>264</v>
      </c>
      <c r="C34" s="79"/>
      <c r="D34" s="79"/>
      <c r="E34" s="79"/>
      <c r="F34" s="79"/>
      <c r="G34" s="79"/>
      <c r="H34" s="79"/>
      <c r="I34" s="79"/>
      <c r="J34" s="79"/>
      <c r="K34" s="79"/>
    </row>
    <row r="35" spans="2:11" ht="15" customHeight="1" x14ac:dyDescent="0.25">
      <c r="B35" s="18" t="s">
        <v>466</v>
      </c>
      <c r="C35" s="79"/>
      <c r="D35" s="79"/>
      <c r="E35" s="79"/>
      <c r="F35" s="79"/>
      <c r="G35" s="79"/>
      <c r="H35" s="79"/>
      <c r="I35" s="79"/>
      <c r="J35" s="79"/>
      <c r="K35" s="79"/>
    </row>
    <row r="36" spans="2:11" ht="15" customHeight="1" x14ac:dyDescent="0.25">
      <c r="B36" s="18" t="s">
        <v>467</v>
      </c>
      <c r="C36" s="79"/>
      <c r="D36" s="79"/>
      <c r="E36" s="79"/>
      <c r="F36" s="79"/>
      <c r="G36" s="79"/>
      <c r="H36" s="79"/>
      <c r="I36" s="79"/>
      <c r="J36" s="79"/>
      <c r="K36" s="79"/>
    </row>
    <row r="37" spans="2:11" ht="15" customHeight="1" x14ac:dyDescent="0.25">
      <c r="B37" s="18" t="s">
        <v>468</v>
      </c>
      <c r="C37" s="79"/>
      <c r="D37" s="79"/>
      <c r="E37" s="79"/>
      <c r="F37" s="79"/>
      <c r="G37" s="79"/>
      <c r="H37" s="79"/>
      <c r="I37" s="79"/>
      <c r="J37" s="79"/>
      <c r="K37" s="79"/>
    </row>
    <row r="38" spans="2:11" ht="15" customHeight="1" x14ac:dyDescent="0.25">
      <c r="B38" s="18" t="s">
        <v>469</v>
      </c>
      <c r="C38" s="79"/>
      <c r="D38" s="79"/>
      <c r="E38" s="79"/>
      <c r="F38" s="79"/>
      <c r="G38" s="79"/>
      <c r="H38" s="79"/>
      <c r="I38" s="79"/>
      <c r="J38" s="79"/>
      <c r="K38" s="79"/>
    </row>
  </sheetData>
  <mergeCells count="3">
    <mergeCell ref="B5:E5"/>
    <mergeCell ref="B14:F14"/>
    <mergeCell ref="B25:K25"/>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E30"/>
  <sheetViews>
    <sheetView topLeftCell="A18" zoomScaleNormal="100" workbookViewId="0">
      <selection activeCell="E6" sqref="E6"/>
    </sheetView>
  </sheetViews>
  <sheetFormatPr defaultColWidth="8.6640625" defaultRowHeight="13.8" x14ac:dyDescent="0.25"/>
  <cols>
    <col min="1" max="1" width="2" style="34" customWidth="1"/>
    <col min="2" max="2" width="36" style="34" customWidth="1"/>
    <col min="3" max="4" width="16" style="34" customWidth="1"/>
    <col min="5" max="5" width="32" style="79" customWidth="1"/>
    <col min="6" max="16384" width="8.6640625" style="34"/>
  </cols>
  <sheetData>
    <row r="2" spans="2:5" ht="17.25" customHeight="1" x14ac:dyDescent="0.3">
      <c r="B2" s="80" t="s">
        <v>470</v>
      </c>
    </row>
    <row r="3" spans="2:5" ht="15" customHeight="1" x14ac:dyDescent="0.25">
      <c r="B3" s="98" t="s">
        <v>471</v>
      </c>
    </row>
    <row r="5" spans="2:5" ht="15" customHeight="1" x14ac:dyDescent="0.25">
      <c r="B5" s="2" t="s">
        <v>472</v>
      </c>
      <c r="C5" s="2"/>
      <c r="D5" s="2"/>
      <c r="E5" s="2"/>
    </row>
    <row r="6" spans="2:5" ht="15" customHeight="1" x14ac:dyDescent="0.25">
      <c r="B6" s="9" t="s">
        <v>473</v>
      </c>
      <c r="C6" s="63" t="s">
        <v>474</v>
      </c>
      <c r="D6" s="63" t="s">
        <v>475</v>
      </c>
      <c r="E6" s="9" t="s">
        <v>394</v>
      </c>
    </row>
    <row r="7" spans="2:5" ht="15" customHeight="1" x14ac:dyDescent="0.25">
      <c r="B7" s="4" t="s">
        <v>476</v>
      </c>
      <c r="C7" s="105">
        <v>234.5</v>
      </c>
      <c r="D7" s="49">
        <f>Assumptions!$C$8/C7-1</f>
        <v>0.27931769722814503</v>
      </c>
      <c r="E7" s="18" t="s">
        <v>477</v>
      </c>
    </row>
    <row r="8" spans="2:5" ht="15" customHeight="1" x14ac:dyDescent="0.25">
      <c r="B8" s="4" t="s">
        <v>478</v>
      </c>
      <c r="C8" s="105">
        <v>237.2</v>
      </c>
      <c r="D8" s="49">
        <f>Assumptions!$C$8/C8-1</f>
        <v>0.26475548060708265</v>
      </c>
      <c r="E8" s="18" t="s">
        <v>479</v>
      </c>
    </row>
    <row r="9" spans="2:5" ht="15" customHeight="1" x14ac:dyDescent="0.25">
      <c r="B9" s="4" t="s">
        <v>480</v>
      </c>
      <c r="C9" s="105">
        <v>239.28</v>
      </c>
      <c r="D9" s="49">
        <f>Assumptions!$C$8/C9-1</f>
        <v>0.25376128385155461</v>
      </c>
      <c r="E9" s="18" t="s">
        <v>481</v>
      </c>
    </row>
    <row r="10" spans="2:5" ht="15" customHeight="1" x14ac:dyDescent="0.25">
      <c r="B10" s="4" t="s">
        <v>482</v>
      </c>
      <c r="C10" s="105">
        <v>235</v>
      </c>
      <c r="D10" s="49">
        <f>Assumptions!$C$8/C10-1</f>
        <v>0.27659574468085113</v>
      </c>
      <c r="E10" s="18" t="s">
        <v>483</v>
      </c>
    </row>
    <row r="11" spans="2:5" ht="15" customHeight="1" x14ac:dyDescent="0.25">
      <c r="B11" s="4" t="s">
        <v>484</v>
      </c>
      <c r="C11" s="105">
        <v>228.5</v>
      </c>
      <c r="D11" s="49">
        <f>Assumptions!$C$8/C11-1</f>
        <v>0.31291028446389491</v>
      </c>
      <c r="E11" s="18" t="s">
        <v>485</v>
      </c>
    </row>
    <row r="12" spans="2:5" ht="15" customHeight="1" x14ac:dyDescent="0.25">
      <c r="B12" s="4" t="s">
        <v>486</v>
      </c>
      <c r="C12" s="105">
        <v>317</v>
      </c>
      <c r="D12" s="49">
        <f>Assumptions!$C$8/C12-1</f>
        <v>-5.362776025236593E-2</v>
      </c>
      <c r="E12" s="18" t="s">
        <v>487</v>
      </c>
    </row>
    <row r="13" spans="2:5" ht="15" customHeight="1" x14ac:dyDescent="0.25">
      <c r="B13" s="4" t="s">
        <v>488</v>
      </c>
      <c r="C13" s="105">
        <v>159</v>
      </c>
      <c r="D13" s="49">
        <f>Assumptions!$C$8/C13-1</f>
        <v>0.8867924528301887</v>
      </c>
      <c r="E13" s="18" t="s">
        <v>489</v>
      </c>
    </row>
    <row r="14" spans="2:5" ht="15" customHeight="1" x14ac:dyDescent="0.25">
      <c r="B14" s="4" t="s">
        <v>490</v>
      </c>
      <c r="C14" s="105">
        <v>866</v>
      </c>
      <c r="D14" s="49">
        <f>Assumptions!$C$8/C14-1</f>
        <v>-0.6535796766743649</v>
      </c>
      <c r="E14" s="18" t="s">
        <v>491</v>
      </c>
    </row>
    <row r="16" spans="2:5" ht="15" customHeight="1" x14ac:dyDescent="0.25">
      <c r="B16" s="13" t="s">
        <v>492</v>
      </c>
      <c r="D16" s="95">
        <f>MEDIAN(D7:D11)</f>
        <v>0.27659574468085113</v>
      </c>
    </row>
    <row r="19" spans="2:5" ht="15" customHeight="1" x14ac:dyDescent="0.25">
      <c r="B19" s="2" t="s">
        <v>493</v>
      </c>
      <c r="C19" s="2"/>
      <c r="D19" s="2"/>
      <c r="E19" s="2"/>
    </row>
    <row r="20" spans="2:5" ht="15" customHeight="1" x14ac:dyDescent="0.25">
      <c r="B20" s="4" t="s">
        <v>494</v>
      </c>
      <c r="C20" s="65">
        <f>Assumptions!C12</f>
        <v>0.25376128385155461</v>
      </c>
    </row>
    <row r="21" spans="2:5" ht="15" customHeight="1" x14ac:dyDescent="0.25">
      <c r="B21" s="4" t="s">
        <v>495</v>
      </c>
      <c r="C21" s="65">
        <f>'Precedent Trans'!H14</f>
        <v>0.4</v>
      </c>
    </row>
    <row r="22" spans="2:5" ht="15" customHeight="1" x14ac:dyDescent="0.25">
      <c r="B22" s="13" t="s">
        <v>496</v>
      </c>
      <c r="C22" s="88">
        <f>C20-C21</f>
        <v>-0.14623871614844541</v>
      </c>
    </row>
    <row r="24" spans="2:5" ht="15" customHeight="1" x14ac:dyDescent="0.25">
      <c r="B24" s="4" t="s">
        <v>497</v>
      </c>
      <c r="C24" s="76">
        <f>C9*(1+C21)</f>
        <v>334.99199999999996</v>
      </c>
      <c r="E24" s="18" t="s">
        <v>498</v>
      </c>
    </row>
    <row r="25" spans="2:5" ht="15" customHeight="1" x14ac:dyDescent="0.25">
      <c r="B25" s="4" t="s">
        <v>499</v>
      </c>
      <c r="C25" s="76">
        <f>C24-Assumptions!C8</f>
        <v>34.991999999999962</v>
      </c>
    </row>
    <row r="28" spans="2:5" ht="15" customHeight="1" x14ac:dyDescent="0.25">
      <c r="B28" s="13" t="s">
        <v>264</v>
      </c>
    </row>
    <row r="29" spans="2:5" ht="15" customHeight="1" x14ac:dyDescent="0.25">
      <c r="B29" s="18" t="s">
        <v>500</v>
      </c>
    </row>
    <row r="30" spans="2:5" ht="15" customHeight="1" x14ac:dyDescent="0.25">
      <c r="B30" s="18" t="s">
        <v>501</v>
      </c>
    </row>
  </sheetData>
  <mergeCells count="2">
    <mergeCell ref="B5:E5"/>
    <mergeCell ref="B19:E19"/>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18"/>
  <sheetViews>
    <sheetView zoomScaleNormal="100" workbookViewId="0">
      <selection activeCell="B3" sqref="B3:G3"/>
    </sheetView>
  </sheetViews>
  <sheetFormatPr defaultColWidth="8.6640625" defaultRowHeight="13.8" x14ac:dyDescent="0.25"/>
  <cols>
    <col min="1" max="1" width="2" style="34" customWidth="1"/>
    <col min="2" max="2" width="32" style="34" customWidth="1"/>
    <col min="3" max="7" width="14" style="34" customWidth="1"/>
    <col min="8" max="16384" width="8.6640625" style="34"/>
  </cols>
  <sheetData>
    <row r="2" spans="2:7" ht="17.25" customHeight="1" x14ac:dyDescent="0.3">
      <c r="B2" s="80" t="s">
        <v>502</v>
      </c>
    </row>
    <row r="3" spans="2:7" ht="15" customHeight="1" x14ac:dyDescent="0.25">
      <c r="B3" s="91" t="s">
        <v>579</v>
      </c>
      <c r="C3" s="91"/>
      <c r="D3" s="91"/>
      <c r="E3" s="91"/>
      <c r="F3" s="91"/>
      <c r="G3" s="91"/>
    </row>
    <row r="5" spans="2:7" ht="15" customHeight="1" x14ac:dyDescent="0.25">
      <c r="B5" s="2" t="s">
        <v>503</v>
      </c>
      <c r="C5" s="2"/>
      <c r="D5" s="2"/>
      <c r="E5" s="2"/>
      <c r="F5" s="2"/>
      <c r="G5" s="2"/>
    </row>
    <row r="6" spans="2:7" ht="15" customHeight="1" x14ac:dyDescent="0.25">
      <c r="B6" s="9" t="s">
        <v>148</v>
      </c>
      <c r="C6" s="63" t="s">
        <v>215</v>
      </c>
      <c r="D6" s="63" t="s">
        <v>228</v>
      </c>
      <c r="E6" s="63" t="s">
        <v>504</v>
      </c>
      <c r="F6" s="63" t="s">
        <v>505</v>
      </c>
      <c r="G6" s="63" t="s">
        <v>506</v>
      </c>
    </row>
    <row r="7" spans="2:7" ht="15" customHeight="1" x14ac:dyDescent="0.25">
      <c r="B7" s="4" t="s">
        <v>507</v>
      </c>
      <c r="C7" s="85">
        <v>41500</v>
      </c>
      <c r="D7" s="64">
        <f>'Target Financials'!F7</f>
        <v>3705</v>
      </c>
      <c r="E7" s="66">
        <f t="shared" ref="E7:E14" si="0">C7+D7</f>
        <v>45205</v>
      </c>
      <c r="F7" s="49">
        <f t="shared" ref="F7:F14" si="1">D7/E7</f>
        <v>8.1959960181395869E-2</v>
      </c>
    </row>
    <row r="8" spans="2:7" ht="15" customHeight="1" x14ac:dyDescent="0.25">
      <c r="B8" s="4" t="s">
        <v>508</v>
      </c>
      <c r="C8" s="85">
        <v>12000</v>
      </c>
      <c r="D8" s="64">
        <f>'Target Financials'!F12+'Target Financials'!F7*0.03</f>
        <v>852.15</v>
      </c>
      <c r="E8" s="66">
        <f t="shared" si="0"/>
        <v>12852.15</v>
      </c>
      <c r="F8" s="49">
        <f t="shared" si="1"/>
        <v>6.6304081418284103E-2</v>
      </c>
    </row>
    <row r="9" spans="2:7" ht="15" customHeight="1" x14ac:dyDescent="0.25">
      <c r="B9" s="4" t="s">
        <v>509</v>
      </c>
      <c r="C9" s="85">
        <v>11500</v>
      </c>
      <c r="D9" s="64">
        <f>'Target Financials'!F12</f>
        <v>741</v>
      </c>
      <c r="E9" s="66">
        <f t="shared" si="0"/>
        <v>12241</v>
      </c>
      <c r="F9" s="49">
        <f t="shared" si="1"/>
        <v>6.0534270075974186E-2</v>
      </c>
    </row>
    <row r="10" spans="2:7" ht="15" customHeight="1" x14ac:dyDescent="0.25">
      <c r="B10" s="4" t="s">
        <v>510</v>
      </c>
      <c r="C10" s="85">
        <v>9500</v>
      </c>
      <c r="D10" s="64">
        <f>'Target Financials'!F12*(1-Assumptions!$C$43)</f>
        <v>585.39</v>
      </c>
      <c r="E10" s="66">
        <f t="shared" si="0"/>
        <v>10085.39</v>
      </c>
      <c r="F10" s="49">
        <f t="shared" si="1"/>
        <v>5.804336768335186E-2</v>
      </c>
    </row>
    <row r="11" spans="2:7" ht="15" customHeight="1" x14ac:dyDescent="0.25">
      <c r="B11" s="4" t="s">
        <v>511</v>
      </c>
      <c r="C11" s="85">
        <v>10500</v>
      </c>
      <c r="D11" s="64">
        <f>DCF!C20</f>
        <v>377.0865</v>
      </c>
      <c r="E11" s="66">
        <f t="shared" si="0"/>
        <v>10877.086499999999</v>
      </c>
      <c r="F11" s="49">
        <f t="shared" si="1"/>
        <v>3.4667969221353533E-2</v>
      </c>
    </row>
    <row r="12" spans="2:7" ht="15" customHeight="1" x14ac:dyDescent="0.25">
      <c r="B12" s="4" t="s">
        <v>512</v>
      </c>
      <c r="C12" s="106">
        <v>150</v>
      </c>
      <c r="D12" s="107">
        <f>'Target Financials'!F13</f>
        <v>280</v>
      </c>
      <c r="E12" s="37">
        <f t="shared" si="0"/>
        <v>430</v>
      </c>
      <c r="F12" s="49">
        <f t="shared" si="1"/>
        <v>0.65116279069767447</v>
      </c>
    </row>
    <row r="13" spans="2:7" ht="15" customHeight="1" x14ac:dyDescent="0.25">
      <c r="B13" s="4" t="s">
        <v>513</v>
      </c>
      <c r="C13" s="108">
        <v>1028</v>
      </c>
      <c r="D13" s="109">
        <f>Assumptions!C10</f>
        <v>52.33</v>
      </c>
      <c r="E13" s="110">
        <f t="shared" si="0"/>
        <v>1080.33</v>
      </c>
      <c r="F13" s="49">
        <f t="shared" si="1"/>
        <v>4.8438902927809099E-2</v>
      </c>
    </row>
    <row r="14" spans="2:7" ht="15" customHeight="1" x14ac:dyDescent="0.25">
      <c r="B14" s="4" t="s">
        <v>514</v>
      </c>
      <c r="C14" s="85">
        <v>253000</v>
      </c>
      <c r="D14" s="64">
        <f>Assumptions!C11</f>
        <v>15699</v>
      </c>
      <c r="E14" s="66">
        <f t="shared" si="0"/>
        <v>268699</v>
      </c>
      <c r="F14" s="49">
        <f t="shared" si="1"/>
        <v>5.8425971067998017E-2</v>
      </c>
      <c r="G14" s="111">
        <f>Assumptions!$C$11/(Assumptions!$C$11+253000)</f>
        <v>5.8425971067998017E-2</v>
      </c>
    </row>
    <row r="17" spans="2:7" ht="15" customHeight="1" x14ac:dyDescent="0.25">
      <c r="B17" s="2" t="s">
        <v>515</v>
      </c>
      <c r="C17" s="2"/>
      <c r="D17" s="2"/>
      <c r="E17" s="2"/>
      <c r="F17" s="2"/>
      <c r="G17" s="2"/>
    </row>
    <row r="18" spans="2:7" ht="15" customHeight="1" x14ac:dyDescent="0.25">
      <c r="B18" s="120" t="s">
        <v>516</v>
      </c>
      <c r="C18" s="120"/>
      <c r="D18" s="120"/>
      <c r="E18" s="120"/>
      <c r="F18" s="120"/>
      <c r="G18" s="120"/>
    </row>
  </sheetData>
  <mergeCells count="4">
    <mergeCell ref="B3:G3"/>
    <mergeCell ref="B5:G5"/>
    <mergeCell ref="B17:G17"/>
    <mergeCell ref="B18:G18"/>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K31"/>
  <sheetViews>
    <sheetView zoomScaleNormal="100" workbookViewId="0">
      <selection activeCell="B28" sqref="B28:B31"/>
    </sheetView>
  </sheetViews>
  <sheetFormatPr defaultColWidth="8.6640625" defaultRowHeight="13.8" x14ac:dyDescent="0.25"/>
  <cols>
    <col min="1" max="1" width="2" style="34" customWidth="1"/>
    <col min="2" max="2" width="44" style="34" customWidth="1"/>
    <col min="3" max="11" width="13" style="34" customWidth="1"/>
    <col min="12" max="16384" width="8.6640625" style="34"/>
  </cols>
  <sheetData>
    <row r="2" spans="2:11" ht="17.25" customHeight="1" x14ac:dyDescent="0.3">
      <c r="B2" s="80" t="s">
        <v>517</v>
      </c>
    </row>
    <row r="3" spans="2:11" ht="15" customHeight="1" x14ac:dyDescent="0.25">
      <c r="B3" s="91" t="s">
        <v>518</v>
      </c>
      <c r="C3" s="91"/>
      <c r="D3" s="91"/>
      <c r="E3" s="91"/>
      <c r="F3" s="91"/>
      <c r="G3" s="91"/>
      <c r="H3" s="91"/>
      <c r="I3" s="91"/>
      <c r="J3" s="91"/>
      <c r="K3" s="91"/>
    </row>
    <row r="5" spans="2:11" ht="15" customHeight="1" x14ac:dyDescent="0.25">
      <c r="B5" s="2" t="s">
        <v>519</v>
      </c>
      <c r="C5" s="2"/>
      <c r="D5" s="2"/>
      <c r="E5" s="2"/>
      <c r="F5" s="2"/>
      <c r="G5" s="2"/>
      <c r="H5" s="2"/>
      <c r="I5" s="2"/>
      <c r="J5" s="2"/>
      <c r="K5" s="2"/>
    </row>
    <row r="6" spans="2:11" ht="15" customHeight="1" x14ac:dyDescent="0.25">
      <c r="B6" s="13" t="s">
        <v>236</v>
      </c>
      <c r="C6" s="63" t="s">
        <v>456</v>
      </c>
      <c r="D6" s="63" t="s">
        <v>457</v>
      </c>
      <c r="E6" s="63" t="s">
        <v>458</v>
      </c>
      <c r="F6" s="63" t="s">
        <v>459</v>
      </c>
      <c r="G6" s="63" t="s">
        <v>460</v>
      </c>
      <c r="H6" s="63" t="s">
        <v>461</v>
      </c>
      <c r="I6" s="63" t="s">
        <v>462</v>
      </c>
      <c r="J6" s="63" t="s">
        <v>463</v>
      </c>
      <c r="K6" s="63" t="s">
        <v>520</v>
      </c>
    </row>
    <row r="7" spans="2:11" ht="15" customHeight="1" x14ac:dyDescent="0.25">
      <c r="B7" s="4" t="s">
        <v>521</v>
      </c>
      <c r="C7" s="64">
        <f>Synergies!C20</f>
        <v>310</v>
      </c>
      <c r="D7" s="64">
        <f>Synergies!D20</f>
        <v>770</v>
      </c>
      <c r="E7" s="64">
        <f>Synergies!E20</f>
        <v>1440</v>
      </c>
      <c r="F7" s="66">
        <f>E7*1.03</f>
        <v>1483.2</v>
      </c>
      <c r="G7" s="66">
        <f>F7*1.03</f>
        <v>1527.6960000000001</v>
      </c>
      <c r="H7" s="66">
        <f>G7*1.03</f>
        <v>1573.5268800000001</v>
      </c>
      <c r="I7" s="66">
        <f>H7*1.03</f>
        <v>1620.7326864000001</v>
      </c>
      <c r="J7" s="66">
        <f>I7*1.03</f>
        <v>1669.3546669920001</v>
      </c>
      <c r="K7" s="112" t="s">
        <v>192</v>
      </c>
    </row>
    <row r="8" spans="2:11" ht="15" customHeight="1" x14ac:dyDescent="0.25">
      <c r="B8" s="4" t="s">
        <v>522</v>
      </c>
      <c r="C8" s="66">
        <f>-C7*Assumptions!$C$43</f>
        <v>-65.099999999999994</v>
      </c>
      <c r="D8" s="66">
        <f>-D7*Assumptions!$C$43</f>
        <v>-161.69999999999999</v>
      </c>
      <c r="E8" s="66">
        <f>-E7*Assumptions!$C$43</f>
        <v>-302.39999999999998</v>
      </c>
      <c r="F8" s="66">
        <f>-F7*Assumptions!$C$43</f>
        <v>-311.47199999999998</v>
      </c>
      <c r="G8" s="66">
        <f>-G7*Assumptions!$C$43</f>
        <v>-320.81616000000002</v>
      </c>
      <c r="H8" s="66">
        <f>-H7*Assumptions!$C$43</f>
        <v>-330.44064480000003</v>
      </c>
      <c r="I8" s="66">
        <f>-I7*Assumptions!$C$43</f>
        <v>-340.353864144</v>
      </c>
      <c r="J8" s="66">
        <f>-J7*Assumptions!$C$43</f>
        <v>-350.56448006831999</v>
      </c>
      <c r="K8" s="112" t="s">
        <v>192</v>
      </c>
    </row>
    <row r="9" spans="2:11" ht="15" customHeight="1" x14ac:dyDescent="0.25">
      <c r="B9" s="13" t="s">
        <v>523</v>
      </c>
      <c r="C9" s="67">
        <f t="shared" ref="C9:J9" si="0">C7+C8</f>
        <v>244.9</v>
      </c>
      <c r="D9" s="67">
        <f t="shared" si="0"/>
        <v>608.29999999999995</v>
      </c>
      <c r="E9" s="67">
        <f t="shared" si="0"/>
        <v>1137.5999999999999</v>
      </c>
      <c r="F9" s="67">
        <f t="shared" si="0"/>
        <v>1171.7280000000001</v>
      </c>
      <c r="G9" s="67">
        <f t="shared" si="0"/>
        <v>1206.8798400000001</v>
      </c>
      <c r="H9" s="67">
        <f t="shared" si="0"/>
        <v>1243.0862352000001</v>
      </c>
      <c r="I9" s="67">
        <f t="shared" si="0"/>
        <v>1280.3788222560001</v>
      </c>
      <c r="J9" s="67">
        <f t="shared" si="0"/>
        <v>1318.7901869236803</v>
      </c>
      <c r="K9" s="112" t="s">
        <v>192</v>
      </c>
    </row>
    <row r="10" spans="2:11" ht="15" customHeight="1" x14ac:dyDescent="0.25">
      <c r="B10" s="4" t="s">
        <v>340</v>
      </c>
      <c r="C10" s="66">
        <f>-Assumptions!C35*(1-Assumptions!C43)</f>
        <v>-276.5</v>
      </c>
      <c r="D10" s="66">
        <v>0</v>
      </c>
      <c r="E10" s="66">
        <v>0</v>
      </c>
      <c r="F10" s="66">
        <v>0</v>
      </c>
      <c r="G10" s="66">
        <v>0</v>
      </c>
      <c r="H10" s="66">
        <v>0</v>
      </c>
      <c r="I10" s="66">
        <v>0</v>
      </c>
      <c r="J10" s="66">
        <v>0</v>
      </c>
      <c r="K10" s="112" t="s">
        <v>192</v>
      </c>
    </row>
    <row r="11" spans="2:11" ht="15" customHeight="1" x14ac:dyDescent="0.25">
      <c r="B11" s="13" t="s">
        <v>524</v>
      </c>
      <c r="C11" s="67">
        <f t="shared" ref="C11:J11" si="1">C9+C10</f>
        <v>-31.599999999999994</v>
      </c>
      <c r="D11" s="67">
        <f t="shared" si="1"/>
        <v>608.29999999999995</v>
      </c>
      <c r="E11" s="67">
        <f t="shared" si="1"/>
        <v>1137.5999999999999</v>
      </c>
      <c r="F11" s="67">
        <f t="shared" si="1"/>
        <v>1171.7280000000001</v>
      </c>
      <c r="G11" s="67">
        <f t="shared" si="1"/>
        <v>1206.8798400000001</v>
      </c>
      <c r="H11" s="67">
        <f t="shared" si="1"/>
        <v>1243.0862352000001</v>
      </c>
      <c r="I11" s="67">
        <f t="shared" si="1"/>
        <v>1280.3788222560001</v>
      </c>
      <c r="J11" s="67">
        <f t="shared" si="1"/>
        <v>1318.7901869236803</v>
      </c>
      <c r="K11" s="67">
        <f>J9*(1+0.025)/(Assumptions!$C$47-0.025)</f>
        <v>17932.845243327349</v>
      </c>
    </row>
    <row r="12" spans="2:11" ht="15" customHeight="1" x14ac:dyDescent="0.25">
      <c r="B12" s="7" t="s">
        <v>251</v>
      </c>
      <c r="C12" s="69">
        <f>1/(1+Assumptions!$C$47)^1</f>
        <v>0.90877779383285218</v>
      </c>
      <c r="D12" s="69">
        <f>1/(1+Assumptions!$C$47)^2</f>
        <v>0.82587707856370585</v>
      </c>
      <c r="E12" s="69">
        <f>1/(1+Assumptions!$C$47)^3</f>
        <v>0.7505387494342457</v>
      </c>
      <c r="F12" s="69">
        <f>1/(1+Assumptions!$C$47)^4</f>
        <v>0.6820729488969216</v>
      </c>
      <c r="G12" s="69">
        <f>1/(1+Assumptions!$C$47)^5</f>
        <v>0.61985274973161208</v>
      </c>
      <c r="H12" s="69">
        <f>1/(1+Assumptions!$C$47)^6</f>
        <v>0.56330841440232138</v>
      </c>
      <c r="I12" s="69">
        <f>1/(1+Assumptions!$C$47)^7</f>
        <v>0.51192217808802376</v>
      </c>
      <c r="J12" s="69">
        <f>1/(1+Assumptions!$C$47)^8</f>
        <v>0.46522350761694264</v>
      </c>
      <c r="K12" s="69">
        <f>J12</f>
        <v>0.46522350761694264</v>
      </c>
    </row>
    <row r="13" spans="2:11" ht="15" customHeight="1" x14ac:dyDescent="0.25">
      <c r="B13" s="13" t="s">
        <v>525</v>
      </c>
      <c r="C13" s="66">
        <f t="shared" ref="C13:K13" si="2">C11*C12</f>
        <v>-28.717378285118123</v>
      </c>
      <c r="D13" s="66">
        <f t="shared" si="2"/>
        <v>502.38102689030222</v>
      </c>
      <c r="E13" s="66">
        <f t="shared" si="2"/>
        <v>853.81288135639784</v>
      </c>
      <c r="F13" s="66">
        <f t="shared" si="2"/>
        <v>799.20397226509215</v>
      </c>
      <c r="G13" s="66">
        <f t="shared" si="2"/>
        <v>748.08778741964807</v>
      </c>
      <c r="H13" s="66">
        <f t="shared" si="2"/>
        <v>700.24093611586318</v>
      </c>
      <c r="I13" s="66">
        <f t="shared" si="2"/>
        <v>655.45431546707027</v>
      </c>
      <c r="J13" s="66">
        <f t="shared" si="2"/>
        <v>613.53219657143802</v>
      </c>
      <c r="K13" s="66">
        <f t="shared" si="2"/>
        <v>8342.7811656525537</v>
      </c>
    </row>
    <row r="16" spans="2:11" ht="15" customHeight="1" x14ac:dyDescent="0.25">
      <c r="B16" s="2" t="s">
        <v>526</v>
      </c>
      <c r="C16" s="2"/>
      <c r="D16" s="2"/>
      <c r="E16" s="2"/>
      <c r="F16" s="2"/>
      <c r="G16" s="2"/>
      <c r="H16" s="2"/>
      <c r="I16" s="2"/>
      <c r="J16" s="2"/>
      <c r="K16" s="2"/>
    </row>
    <row r="18" spans="2:3" ht="15" customHeight="1" x14ac:dyDescent="0.25">
      <c r="B18" s="13" t="s">
        <v>527</v>
      </c>
      <c r="C18" s="67">
        <f>SUM(C13:J13)</f>
        <v>4843.9957378006939</v>
      </c>
    </row>
    <row r="19" spans="2:3" ht="15" customHeight="1" x14ac:dyDescent="0.25">
      <c r="B19" s="13" t="s">
        <v>528</v>
      </c>
      <c r="C19" s="67">
        <f>K13</f>
        <v>8342.7811656525537</v>
      </c>
    </row>
    <row r="20" spans="2:3" ht="15" customHeight="1" x14ac:dyDescent="0.25">
      <c r="B20" s="13" t="s">
        <v>529</v>
      </c>
      <c r="C20" s="67">
        <f>C18+C19</f>
        <v>13186.776903453247</v>
      </c>
    </row>
    <row r="21" spans="2:3" ht="15" customHeight="1" x14ac:dyDescent="0.25">
      <c r="B21" s="4" t="s">
        <v>530</v>
      </c>
      <c r="C21" s="66">
        <f>Assumptions!C11-(Assumptions!C9*Assumptions!C10)</f>
        <v>3177.4776000000002</v>
      </c>
    </row>
    <row r="22" spans="2:3" ht="15" customHeight="1" x14ac:dyDescent="0.25">
      <c r="B22" s="13" t="s">
        <v>531</v>
      </c>
      <c r="C22" s="113">
        <f>C20-C21</f>
        <v>10009.299303453246</v>
      </c>
    </row>
    <row r="23" spans="2:3" ht="15" customHeight="1" x14ac:dyDescent="0.25">
      <c r="B23" s="13" t="s">
        <v>532</v>
      </c>
      <c r="C23" s="72">
        <f>C22/Assumptions!C54</f>
        <v>9.7366724741763093</v>
      </c>
    </row>
    <row r="24" spans="2:3" ht="15" customHeight="1" x14ac:dyDescent="0.25">
      <c r="B24" s="4" t="s">
        <v>533</v>
      </c>
      <c r="C24" s="49">
        <f>C22/C21</f>
        <v>3.1500770622122549</v>
      </c>
    </row>
    <row r="27" spans="2:3" ht="15" customHeight="1" x14ac:dyDescent="0.25">
      <c r="B27" s="13" t="s">
        <v>387</v>
      </c>
    </row>
    <row r="28" spans="2:3" ht="15" customHeight="1" x14ac:dyDescent="0.25">
      <c r="B28" s="18" t="s">
        <v>534</v>
      </c>
    </row>
    <row r="29" spans="2:3" ht="15" customHeight="1" x14ac:dyDescent="0.25">
      <c r="B29" s="18" t="s">
        <v>535</v>
      </c>
    </row>
    <row r="30" spans="2:3" ht="15" customHeight="1" x14ac:dyDescent="0.25">
      <c r="B30" s="18" t="s">
        <v>536</v>
      </c>
    </row>
    <row r="31" spans="2:3" ht="15" customHeight="1" x14ac:dyDescent="0.25">
      <c r="B31" s="18" t="s">
        <v>537</v>
      </c>
    </row>
  </sheetData>
  <mergeCells count="3">
    <mergeCell ref="B3:K3"/>
    <mergeCell ref="B5:K5"/>
    <mergeCell ref="B16:K16"/>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M52"/>
  <sheetViews>
    <sheetView zoomScaleNormal="100" workbookViewId="0">
      <selection activeCell="B27" sqref="B27"/>
    </sheetView>
  </sheetViews>
  <sheetFormatPr defaultColWidth="8.6640625" defaultRowHeight="13.8" x14ac:dyDescent="0.25"/>
  <cols>
    <col min="1" max="1" width="2" style="34" customWidth="1"/>
    <col min="2" max="2" width="24" style="33" customWidth="1"/>
    <col min="3" max="13" width="11" style="34" customWidth="1"/>
    <col min="14" max="16384" width="8.6640625" style="34"/>
  </cols>
  <sheetData>
    <row r="2" spans="2:13" ht="17.25" customHeight="1" x14ac:dyDescent="0.3">
      <c r="B2" s="32" t="s">
        <v>538</v>
      </c>
    </row>
    <row r="3" spans="2:13" ht="79.2" x14ac:dyDescent="0.25">
      <c r="B3" s="46" t="s">
        <v>539</v>
      </c>
    </row>
    <row r="5" spans="2:13" ht="15" customHeight="1" x14ac:dyDescent="0.25">
      <c r="B5" s="2" t="s">
        <v>540</v>
      </c>
      <c r="C5" s="2"/>
      <c r="D5" s="2"/>
      <c r="E5" s="2"/>
      <c r="F5" s="2"/>
      <c r="G5" s="2"/>
      <c r="H5" s="2"/>
      <c r="I5" s="2"/>
      <c r="J5" s="2"/>
      <c r="K5" s="2"/>
      <c r="L5" s="2"/>
      <c r="M5" s="2"/>
    </row>
    <row r="6" spans="2:13" ht="15" customHeight="1" x14ac:dyDescent="0.25">
      <c r="B6" s="78" t="s">
        <v>176</v>
      </c>
      <c r="C6" s="63" t="s">
        <v>541</v>
      </c>
      <c r="D6" s="63" t="s">
        <v>542</v>
      </c>
      <c r="E6" s="63" t="s">
        <v>543</v>
      </c>
      <c r="F6" s="63" t="s">
        <v>544</v>
      </c>
      <c r="G6" s="63" t="s">
        <v>545</v>
      </c>
      <c r="H6" s="63" t="s">
        <v>546</v>
      </c>
      <c r="I6" s="63" t="s">
        <v>547</v>
      </c>
      <c r="J6" s="63" t="s">
        <v>548</v>
      </c>
    </row>
    <row r="7" spans="2:13" ht="15" customHeight="1" x14ac:dyDescent="0.25">
      <c r="B7" s="18" t="s">
        <v>183</v>
      </c>
      <c r="C7" s="105">
        <v>45.7</v>
      </c>
      <c r="D7" s="48">
        <v>0.1</v>
      </c>
      <c r="E7" s="48">
        <v>0.78</v>
      </c>
      <c r="F7" s="48">
        <v>0.32</v>
      </c>
      <c r="G7" s="48">
        <v>0.95</v>
      </c>
      <c r="H7" s="49">
        <f t="shared" ref="H7:H18" si="0">D7+E7</f>
        <v>0.88</v>
      </c>
      <c r="I7" s="114">
        <v>5.4</v>
      </c>
      <c r="J7" s="100">
        <f t="shared" ref="J7:J18" si="1">I7/D7</f>
        <v>54</v>
      </c>
    </row>
    <row r="8" spans="2:13" ht="15" customHeight="1" x14ac:dyDescent="0.25">
      <c r="B8" s="18" t="s">
        <v>184</v>
      </c>
      <c r="C8" s="105">
        <v>13.5</v>
      </c>
      <c r="D8" s="48">
        <v>0.19</v>
      </c>
      <c r="E8" s="48">
        <v>0.8</v>
      </c>
      <c r="F8" s="48">
        <v>0.3</v>
      </c>
      <c r="G8" s="48">
        <v>0.92</v>
      </c>
      <c r="H8" s="49">
        <f t="shared" si="0"/>
        <v>0.99</v>
      </c>
      <c r="I8" s="114">
        <v>14.5</v>
      </c>
      <c r="J8" s="100">
        <f t="shared" si="1"/>
        <v>76.315789473684205</v>
      </c>
    </row>
    <row r="9" spans="2:13" ht="15" customHeight="1" x14ac:dyDescent="0.25">
      <c r="B9" s="18" t="s">
        <v>377</v>
      </c>
      <c r="C9" s="105">
        <v>24</v>
      </c>
      <c r="D9" s="48">
        <v>0.1</v>
      </c>
      <c r="E9" s="48">
        <v>0.89</v>
      </c>
      <c r="F9" s="48">
        <v>0.38</v>
      </c>
      <c r="G9" s="48">
        <v>0.98</v>
      </c>
      <c r="H9" s="49">
        <f t="shared" si="0"/>
        <v>0.99</v>
      </c>
      <c r="I9" s="114">
        <v>12</v>
      </c>
      <c r="J9" s="100">
        <f t="shared" si="1"/>
        <v>120</v>
      </c>
    </row>
    <row r="10" spans="2:13" ht="15" customHeight="1" x14ac:dyDescent="0.25">
      <c r="B10" s="18" t="s">
        <v>378</v>
      </c>
      <c r="C10" s="105">
        <v>9.5</v>
      </c>
      <c r="D10" s="48">
        <v>0.15</v>
      </c>
      <c r="E10" s="48">
        <v>0.76</v>
      </c>
      <c r="F10" s="48">
        <v>0.27</v>
      </c>
      <c r="G10" s="48">
        <v>0.85</v>
      </c>
      <c r="H10" s="49">
        <f t="shared" si="0"/>
        <v>0.91</v>
      </c>
      <c r="I10" s="114">
        <v>7.5</v>
      </c>
      <c r="J10" s="100">
        <f t="shared" si="1"/>
        <v>50</v>
      </c>
    </row>
    <row r="11" spans="2:13" ht="15" customHeight="1" x14ac:dyDescent="0.25">
      <c r="B11" s="18" t="s">
        <v>379</v>
      </c>
      <c r="C11" s="105">
        <v>5.5</v>
      </c>
      <c r="D11" s="48">
        <v>0.18</v>
      </c>
      <c r="E11" s="48">
        <v>0.84</v>
      </c>
      <c r="F11" s="48">
        <v>0.22</v>
      </c>
      <c r="G11" s="48">
        <v>0.88</v>
      </c>
      <c r="H11" s="49">
        <f t="shared" si="0"/>
        <v>1.02</v>
      </c>
      <c r="I11" s="114">
        <v>11</v>
      </c>
      <c r="J11" s="100">
        <f t="shared" si="1"/>
        <v>61.111111111111114</v>
      </c>
    </row>
    <row r="12" spans="2:13" ht="15" customHeight="1" x14ac:dyDescent="0.25">
      <c r="B12" s="18" t="s">
        <v>185</v>
      </c>
      <c r="C12" s="105">
        <v>1.07</v>
      </c>
      <c r="D12" s="48">
        <v>0.16</v>
      </c>
      <c r="E12" s="48">
        <v>0.83</v>
      </c>
      <c r="F12" s="48">
        <v>0.06</v>
      </c>
      <c r="G12" s="48">
        <v>0.65</v>
      </c>
      <c r="H12" s="49">
        <f t="shared" si="0"/>
        <v>0.99</v>
      </c>
      <c r="I12" s="114">
        <v>4.5999999999999996</v>
      </c>
      <c r="J12" s="100">
        <f t="shared" si="1"/>
        <v>28.749999999999996</v>
      </c>
    </row>
    <row r="13" spans="2:13" ht="15" customHeight="1" x14ac:dyDescent="0.25">
      <c r="B13" s="18" t="s">
        <v>186</v>
      </c>
      <c r="C13" s="105">
        <v>1.62</v>
      </c>
      <c r="D13" s="48">
        <v>0.22</v>
      </c>
      <c r="E13" s="48">
        <v>0.89</v>
      </c>
      <c r="F13" s="48">
        <v>0.15</v>
      </c>
      <c r="G13" s="48">
        <v>0.8</v>
      </c>
      <c r="H13" s="49">
        <f t="shared" si="0"/>
        <v>1.1100000000000001</v>
      </c>
      <c r="I13" s="114">
        <v>6.7</v>
      </c>
      <c r="J13" s="100">
        <f t="shared" si="1"/>
        <v>30.454545454545457</v>
      </c>
    </row>
    <row r="14" spans="2:13" ht="15" customHeight="1" x14ac:dyDescent="0.25">
      <c r="B14" s="18" t="s">
        <v>549</v>
      </c>
      <c r="C14" s="105">
        <v>1.73</v>
      </c>
      <c r="D14" s="48">
        <v>0.15</v>
      </c>
      <c r="E14" s="48">
        <v>0.77</v>
      </c>
      <c r="F14" s="48">
        <v>0.18</v>
      </c>
      <c r="G14" s="48">
        <v>0.75</v>
      </c>
      <c r="H14" s="49">
        <f t="shared" si="0"/>
        <v>0.92</v>
      </c>
      <c r="I14" s="114">
        <v>5.9</v>
      </c>
      <c r="J14" s="100">
        <f t="shared" si="1"/>
        <v>39.333333333333336</v>
      </c>
    </row>
    <row r="15" spans="2:13" ht="15" customHeight="1" x14ac:dyDescent="0.25">
      <c r="B15" s="18" t="s">
        <v>189</v>
      </c>
      <c r="C15" s="105">
        <v>0.59</v>
      </c>
      <c r="D15" s="48">
        <v>0.21</v>
      </c>
      <c r="E15" s="48">
        <v>0.69</v>
      </c>
      <c r="F15" s="48">
        <v>0.05</v>
      </c>
      <c r="G15" s="48">
        <v>0.6</v>
      </c>
      <c r="H15" s="49">
        <f t="shared" si="0"/>
        <v>0.89999999999999991</v>
      </c>
      <c r="I15" s="114">
        <v>4.9000000000000004</v>
      </c>
      <c r="J15" s="100">
        <f t="shared" si="1"/>
        <v>23.333333333333336</v>
      </c>
    </row>
    <row r="16" spans="2:13" ht="15" customHeight="1" x14ac:dyDescent="0.25">
      <c r="B16" s="18" t="s">
        <v>190</v>
      </c>
      <c r="C16" s="105">
        <v>0.42</v>
      </c>
      <c r="D16" s="48">
        <v>0.18</v>
      </c>
      <c r="E16" s="48">
        <v>0.74</v>
      </c>
      <c r="F16" s="48">
        <v>0.1</v>
      </c>
      <c r="G16" s="48">
        <v>0.7</v>
      </c>
      <c r="H16" s="49">
        <f t="shared" si="0"/>
        <v>0.91999999999999993</v>
      </c>
      <c r="I16" s="114">
        <v>5.2</v>
      </c>
      <c r="J16" s="100">
        <f t="shared" si="1"/>
        <v>28.888888888888889</v>
      </c>
    </row>
    <row r="17" spans="2:10" ht="15" customHeight="1" x14ac:dyDescent="0.25">
      <c r="B17" s="18" t="s">
        <v>550</v>
      </c>
      <c r="C17" s="105">
        <v>0.78</v>
      </c>
      <c r="D17" s="48">
        <v>0.11</v>
      </c>
      <c r="E17" s="48">
        <v>0.9</v>
      </c>
      <c r="F17" s="48">
        <v>-0.05</v>
      </c>
      <c r="G17" s="48">
        <v>0.5</v>
      </c>
      <c r="H17" s="49">
        <f t="shared" si="0"/>
        <v>1.01</v>
      </c>
      <c r="I17" s="114">
        <v>3.2</v>
      </c>
      <c r="J17" s="100">
        <f t="shared" si="1"/>
        <v>29.090909090909093</v>
      </c>
    </row>
    <row r="18" spans="2:10" ht="15" customHeight="1" x14ac:dyDescent="0.25">
      <c r="B18" s="18" t="s">
        <v>551</v>
      </c>
      <c r="C18" s="105">
        <v>1.3</v>
      </c>
      <c r="D18" s="48">
        <v>0.15</v>
      </c>
      <c r="E18" s="48">
        <v>0.81</v>
      </c>
      <c r="F18" s="48">
        <v>0.08</v>
      </c>
      <c r="G18" s="48">
        <v>0.7</v>
      </c>
      <c r="H18" s="49">
        <f t="shared" si="0"/>
        <v>0.96000000000000008</v>
      </c>
      <c r="I18" s="114">
        <v>4.8</v>
      </c>
      <c r="J18" s="100">
        <f t="shared" si="1"/>
        <v>32</v>
      </c>
    </row>
    <row r="20" spans="2:10" ht="15" customHeight="1" x14ac:dyDescent="0.25">
      <c r="B20" s="121" t="s">
        <v>552</v>
      </c>
      <c r="C20" s="115">
        <f t="shared" ref="C20:J20" si="2">MEDIAN(C7:C18)</f>
        <v>1.675</v>
      </c>
      <c r="D20" s="95">
        <f t="shared" si="2"/>
        <v>0.155</v>
      </c>
      <c r="E20" s="95">
        <f t="shared" si="2"/>
        <v>0.80500000000000005</v>
      </c>
      <c r="F20" s="95">
        <f t="shared" si="2"/>
        <v>0.16499999999999998</v>
      </c>
      <c r="G20" s="95">
        <f t="shared" si="2"/>
        <v>0.77500000000000002</v>
      </c>
      <c r="H20" s="95">
        <f t="shared" si="2"/>
        <v>0.97500000000000009</v>
      </c>
      <c r="I20" s="116">
        <f t="shared" si="2"/>
        <v>5.65</v>
      </c>
      <c r="J20" s="116">
        <f t="shared" si="2"/>
        <v>35.666666666666671</v>
      </c>
    </row>
    <row r="21" spans="2:10" ht="15" customHeight="1" x14ac:dyDescent="0.25">
      <c r="B21" s="17" t="s">
        <v>553</v>
      </c>
      <c r="C21" s="105">
        <v>3.71</v>
      </c>
      <c r="D21" s="48">
        <v>0.18</v>
      </c>
      <c r="E21" s="48">
        <v>0.85</v>
      </c>
      <c r="F21" s="48">
        <v>0.2</v>
      </c>
      <c r="G21" s="48">
        <v>0.85</v>
      </c>
      <c r="H21" s="49">
        <f>D21+E21</f>
        <v>1.03</v>
      </c>
      <c r="I21" s="114">
        <v>2.9</v>
      </c>
      <c r="J21" s="100">
        <f>I21/D21</f>
        <v>16.111111111111111</v>
      </c>
    </row>
    <row r="23" spans="2:10" ht="15" customHeight="1" x14ac:dyDescent="0.25">
      <c r="B23" s="2" t="s">
        <v>554</v>
      </c>
      <c r="C23" s="2"/>
      <c r="D23" s="2"/>
      <c r="E23" s="2"/>
      <c r="F23" s="2"/>
      <c r="G23" s="2"/>
    </row>
    <row r="24" spans="2:10" ht="15" customHeight="1" x14ac:dyDescent="0.25">
      <c r="B24" s="18" t="s">
        <v>555</v>
      </c>
      <c r="C24" s="100">
        <f>J21</f>
        <v>16.111111111111111</v>
      </c>
    </row>
    <row r="25" spans="2:10" ht="15" customHeight="1" x14ac:dyDescent="0.25">
      <c r="B25" s="18" t="s">
        <v>556</v>
      </c>
      <c r="C25" s="100">
        <f>J20</f>
        <v>35.666666666666671</v>
      </c>
    </row>
    <row r="26" spans="2:10" ht="15" customHeight="1" x14ac:dyDescent="0.25">
      <c r="B26" s="17" t="s">
        <v>557</v>
      </c>
      <c r="C26" s="88">
        <f>C24/C25-1</f>
        <v>-0.54828660436137078</v>
      </c>
    </row>
    <row r="27" spans="2:10" ht="15" customHeight="1" x14ac:dyDescent="0.25">
      <c r="B27" s="18" t="s">
        <v>558</v>
      </c>
    </row>
    <row r="31" spans="2:10" ht="15" customHeight="1" x14ac:dyDescent="0.25">
      <c r="B31" s="2" t="s">
        <v>559</v>
      </c>
      <c r="C31" s="2"/>
      <c r="D31" s="2"/>
      <c r="E31" s="2"/>
      <c r="F31" s="2"/>
      <c r="G31" s="2"/>
    </row>
    <row r="32" spans="2:10" ht="15" customHeight="1" x14ac:dyDescent="0.25">
      <c r="B32" s="78" t="s">
        <v>211</v>
      </c>
      <c r="C32" s="63" t="s">
        <v>212</v>
      </c>
      <c r="D32" s="63" t="s">
        <v>560</v>
      </c>
      <c r="E32" s="63" t="s">
        <v>547</v>
      </c>
      <c r="F32" s="63" t="s">
        <v>561</v>
      </c>
    </row>
    <row r="33" spans="2:6" ht="15" customHeight="1" x14ac:dyDescent="0.25">
      <c r="B33" s="18" t="s">
        <v>562</v>
      </c>
      <c r="C33" s="68">
        <v>2021</v>
      </c>
      <c r="D33" s="48">
        <v>0.35</v>
      </c>
      <c r="E33" s="114">
        <v>19.5</v>
      </c>
      <c r="F33" s="100">
        <f t="shared" ref="F33:F39" si="3">E33*(0.18/D33)</f>
        <v>10.02857142857143</v>
      </c>
    </row>
    <row r="34" spans="2:6" ht="15" customHeight="1" x14ac:dyDescent="0.25">
      <c r="B34" s="18" t="s">
        <v>563</v>
      </c>
      <c r="C34" s="68">
        <v>2019</v>
      </c>
      <c r="D34" s="48">
        <v>0.18</v>
      </c>
      <c r="E34" s="114">
        <v>9.1999999999999993</v>
      </c>
      <c r="F34" s="100">
        <f t="shared" si="3"/>
        <v>9.1999999999999993</v>
      </c>
    </row>
    <row r="35" spans="2:6" ht="15" customHeight="1" x14ac:dyDescent="0.25">
      <c r="B35" s="18" t="s">
        <v>219</v>
      </c>
      <c r="C35" s="68">
        <v>2023</v>
      </c>
      <c r="D35" s="48">
        <v>0.16</v>
      </c>
      <c r="E35" s="114">
        <v>5.4</v>
      </c>
      <c r="F35" s="100">
        <f t="shared" si="3"/>
        <v>6.0750000000000002</v>
      </c>
    </row>
    <row r="36" spans="2:6" ht="15" customHeight="1" x14ac:dyDescent="0.25">
      <c r="B36" s="18" t="s">
        <v>221</v>
      </c>
      <c r="C36" s="68">
        <v>2019</v>
      </c>
      <c r="D36" s="48">
        <v>0.25</v>
      </c>
      <c r="E36" s="114">
        <v>15.4</v>
      </c>
      <c r="F36" s="100">
        <f t="shared" si="3"/>
        <v>11.087999999999999</v>
      </c>
    </row>
    <row r="37" spans="2:6" ht="15" customHeight="1" x14ac:dyDescent="0.25">
      <c r="B37" s="18" t="s">
        <v>223</v>
      </c>
      <c r="C37" s="68">
        <v>2022</v>
      </c>
      <c r="D37" s="48">
        <v>0.2</v>
      </c>
      <c r="E37" s="114">
        <v>7.7</v>
      </c>
      <c r="F37" s="100">
        <f t="shared" si="3"/>
        <v>6.93</v>
      </c>
    </row>
    <row r="38" spans="2:6" ht="15" customHeight="1" x14ac:dyDescent="0.25">
      <c r="B38" s="18" t="s">
        <v>224</v>
      </c>
      <c r="C38" s="68">
        <v>2025</v>
      </c>
      <c r="D38" s="48">
        <v>7.0000000000000007E-2</v>
      </c>
      <c r="E38" s="114">
        <v>4.4000000000000004</v>
      </c>
      <c r="F38" s="100">
        <f t="shared" si="3"/>
        <v>11.314285714285715</v>
      </c>
    </row>
    <row r="39" spans="2:6" ht="15" customHeight="1" x14ac:dyDescent="0.25">
      <c r="B39" s="18" t="s">
        <v>225</v>
      </c>
      <c r="C39" s="68">
        <v>2024</v>
      </c>
      <c r="D39" s="48">
        <v>0.4</v>
      </c>
      <c r="E39" s="114">
        <v>5.8</v>
      </c>
      <c r="F39" s="100">
        <f t="shared" si="3"/>
        <v>2.61</v>
      </c>
    </row>
    <row r="41" spans="2:6" ht="15" customHeight="1" x14ac:dyDescent="0.25">
      <c r="B41" s="18" t="s">
        <v>564</v>
      </c>
      <c r="C41" s="100">
        <f>SLOPE(E33:E39,D33:D39)</f>
        <v>23.981958762886592</v>
      </c>
    </row>
    <row r="42" spans="2:6" ht="15" customHeight="1" x14ac:dyDescent="0.25">
      <c r="B42" s="18" t="s">
        <v>565</v>
      </c>
      <c r="C42" s="100">
        <f>INTERCEPT(E33:E39,D33:D39)</f>
        <v>4.1127209131075126</v>
      </c>
    </row>
    <row r="43" spans="2:6" ht="15" customHeight="1" x14ac:dyDescent="0.25">
      <c r="B43" s="18" t="s">
        <v>566</v>
      </c>
      <c r="C43" s="93">
        <f>RSQ(E33:E39,D33:D39)</f>
        <v>0.22942189904396107</v>
      </c>
    </row>
    <row r="44" spans="2:6" ht="15" customHeight="1" x14ac:dyDescent="0.25">
      <c r="B44" s="17" t="s">
        <v>567</v>
      </c>
      <c r="C44" s="117">
        <f>C41*0.18+C42</f>
        <v>8.4294734904270996</v>
      </c>
    </row>
    <row r="45" spans="2:6" ht="15" customHeight="1" x14ac:dyDescent="0.25">
      <c r="B45" s="18" t="s">
        <v>568</v>
      </c>
      <c r="C45" s="66">
        <f>C44*Assumptions!C19</f>
        <v>31231.199282032405</v>
      </c>
    </row>
    <row r="46" spans="2:6" ht="15" customHeight="1" x14ac:dyDescent="0.25">
      <c r="B46" s="17" t="s">
        <v>569</v>
      </c>
      <c r="C46" s="118">
        <f>(C45+Assumptions!C13)/Assumptions!C10</f>
        <v>633.12056720872181</v>
      </c>
    </row>
    <row r="49" spans="2:2" ht="15" customHeight="1" x14ac:dyDescent="0.25">
      <c r="B49" s="17" t="s">
        <v>264</v>
      </c>
    </row>
    <row r="50" spans="2:2" ht="15" customHeight="1" x14ac:dyDescent="0.25">
      <c r="B50" s="18" t="s">
        <v>570</v>
      </c>
    </row>
    <row r="51" spans="2:2" ht="15" customHeight="1" x14ac:dyDescent="0.25">
      <c r="B51" s="18" t="s">
        <v>571</v>
      </c>
    </row>
    <row r="52" spans="2:2" ht="15" customHeight="1" x14ac:dyDescent="0.25">
      <c r="B52" s="18" t="s">
        <v>572</v>
      </c>
    </row>
  </sheetData>
  <mergeCells count="3">
    <mergeCell ref="B5:M5"/>
    <mergeCell ref="B23:G23"/>
    <mergeCell ref="B31:G3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Assumptions</vt:lpstr>
      <vt:lpstr>Target Financials</vt:lpstr>
      <vt:lpstr>Trading Comps</vt:lpstr>
      <vt:lpstr>Precedent Trans</vt:lpstr>
      <vt:lpstr>DCF</vt:lpstr>
      <vt:lpstr>DCF Sensitivity</vt:lpstr>
      <vt:lpstr>Synergies</vt:lpstr>
      <vt:lpstr>Football Field</vt:lpstr>
      <vt:lpstr>Accretion-Dilution</vt:lpstr>
      <vt:lpstr>Beta Unlever</vt:lpstr>
      <vt:lpstr>Sources &amp; Uses</vt:lpstr>
      <vt:lpstr>Purchase Price Alloc</vt:lpstr>
      <vt:lpstr>Premiums Paid</vt:lpstr>
      <vt:lpstr>Contribution</vt:lpstr>
      <vt:lpstr>Returns</vt:lpstr>
      <vt:lpstr>Appendix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Martín Emilio Botto Villalva</cp:lastModifiedBy>
  <cp:revision>0</cp:revision>
  <dcterms:created xsi:type="dcterms:W3CDTF">2026-05-09T23:38:39Z</dcterms:created>
  <dcterms:modified xsi:type="dcterms:W3CDTF">2026-05-21T04:34:19Z</dcterms:modified>
  <dc:language>en-US</dc:language>
</cp:coreProperties>
</file>